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afc495fd254d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d4d44c0b35714c55"/>
    <x:sheet xmlns:r="http://schemas.openxmlformats.org/officeDocument/2006/relationships" name="Portfolio" sheetId="2" r:id="R902de6b4d56f471e"/>
    <x:sheet xmlns:r="http://schemas.openxmlformats.org/officeDocument/2006/relationships" name="Client Financials" sheetId="3" r:id="Rbd20e9a42be74c8b"/>
    <x:sheet xmlns:r="http://schemas.openxmlformats.org/officeDocument/2006/relationships" name="Scenario Analysis" sheetId="4" r:id="R8ad4aea61caa4a7b"/>
    <x:sheet xmlns:r="http://schemas.openxmlformats.org/officeDocument/2006/relationships" name="Treasury" sheetId="5" r:id="R77c4a765f2424416"/>
    <x:sheet xmlns:r="http://schemas.openxmlformats.org/officeDocument/2006/relationships" name="Relationship Review" sheetId="6" r:id="R1a669352eef44b7f"/>
    <x:sheet xmlns:r="http://schemas.openxmlformats.org/officeDocument/2006/relationships" name="Executive Dashboard" sheetId="7" r:id="R6e956fc1b62c4408"/>
    <x:sheet xmlns:r="http://schemas.openxmlformats.org/officeDocument/2006/relationships" name="Sources" sheetId="8" r:id="R4538a6150d3e48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.0%"/>
    <x:numFmt numFmtId="201" formatCode="0.00x"/>
    <x:numFmt numFmtId="202" formatCode="$#,##0.0;[Red]($#,##0.0);-"/>
    <x:numFmt numFmtId="203" formatCode="$#,##0.00;[Red]($#,##0.00);-"/>
    <x:numFmt numFmtId="204" formatCode="0.0"/>
    <x:numFmt numFmtId="205" formatCode="#,##0"/>
    <x:numFmt numFmtId="206" formatCode="0.00%"/>
    <x:numFmt numFmtId="207" formatCode="$#,##0.0"/>
    <x:numFmt numFmtId="208" formatCode="0"/>
    <x:numFmt numFmtId="209" formatCode="$#,##0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color rgb="FF0B1F3A"/>
      <x:name val="Carlito"/>
    </x:font>
    <x:font>
      <x:b/>
      <x:sz val="18"/>
      <x:color rgb="FF2F6BFF"/>
      <x:name val="Carlito"/>
    </x:font>
    <x:font>
      <x:sz val="12"/>
      <x:color rgb="FF0B1F3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FFF2CC"/>
      </x:patternFill>
    </x:fill>
    <x:fill>
      <x:patternFill patternType="solid">
        <x:fgColor rgb="FFF4F7FB"/>
      </x:patternFill>
    </x:fill>
    <x:fill>
      <x:patternFill patternType="solid">
        <x:fgColor rgb="FFDCE5F2"/>
      </x:patternFill>
    </x:fill>
  </x:fills>
  <x:borders count="16">
    <x:border/>
    <x:border/>
    <x:border>
      <x:top style="thin">
        <x:color rgb="FF9CA3AF"/>
      </x:top>
    </x:border>
    <x:border>
      <x:top style="thin">
        <x:color rgb="FF9CA3AF"/>
      </x:top>
    </x:border>
    <x:border>
      <x:left style="thin">
        <x:color rgb="FFDCE5F2"/>
      </x:left>
      <x:top style="thin">
        <x:color rgb="FFDCE5F2"/>
      </x:top>
    </x:border>
    <x:border>
      <x:right style="thin">
        <x:color rgb="FFDCE5F2"/>
      </x:right>
      <x:top style="thin">
        <x:color rgb="FFDCE5F2"/>
      </x:top>
    </x:border>
    <x:border>
      <x:left style="thin">
        <x:color rgb="FFDCE5F2"/>
      </x:left>
    </x:border>
    <x:border>
      <x:right style="thin">
        <x:color rgb="FFDCE5F2"/>
      </x:right>
    </x:border>
    <x:border>
      <x:left style="thin">
        <x:color rgb="FFDCE5F2"/>
      </x:left>
      <x:bottom style="thin">
        <x:color rgb="FFDCE5F2"/>
      </x:bottom>
    </x:border>
    <x:border>
      <x:right style="thin">
        <x:color rgb="FFDCE5F2"/>
      </x:right>
      <x:bottom style="thin">
        <x:color rgb="FFDCE5F2"/>
      </x:bottom>
    </x:border>
    <x:border>
      <x:left style="thin">
        <x:color rgb="FFDCE5F2"/>
      </x:left>
      <x:top style="thin">
        <x:color rgb="FFDCE5F2"/>
      </x:top>
    </x:border>
    <x:border>
      <x:right style="thin">
        <x:color rgb="FFDCE5F2"/>
      </x:right>
      <x:top style="thin">
        <x:color rgb="FFDCE5F2"/>
      </x:top>
    </x:border>
    <x:border>
      <x:left style="thin">
        <x:color rgb="FFDCE5F2"/>
      </x:left>
    </x:border>
    <x:border>
      <x:right style="thin">
        <x:color rgb="FFDCE5F2"/>
      </x:right>
    </x:border>
    <x:border>
      <x:left style="thin">
        <x:color rgb="FFDCE5F2"/>
      </x:left>
      <x:bottom style="thin">
        <x:color rgb="FFDCE5F2"/>
      </x:bottom>
    </x:border>
    <x:border>
      <x:right style="thin">
        <x:color rgb="FFDCE5F2"/>
      </x:right>
      <x:bottom style="thin">
        <x:color rgb="FFDCE5F2"/>
      </x:bottom>
    </x:border>
  </x:borders>
  <x:cellStyleXfs count="1">
    <x:xf numFmtId="0" fontId="0" fillId="0" borderId="0"/>
  </x:cellStyleXfs>
  <x:cellXfs count="2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200" fontId="2" fillId="3" borderId="0" xfId="0" applyNumberFormat="1" applyFont="1" applyFill="1" applyBorder="1"/>
    <x:xf numFmtId="200" fontId="2" fillId="3" borderId="1" xfId="0" applyNumberFormat="1" applyFont="1" applyFill="1" applyBorder="1"/>
    <x:xf numFmtId="201" fontId="2" fillId="3" borderId="0" xfId="0" applyNumberFormat="1" applyFont="1" applyFill="1" applyBorder="1"/>
    <x:xf numFmtId="201" fontId="2" fillId="3" borderId="1" xfId="0" applyNumberFormat="1" applyFont="1" applyFill="1" applyBorder="1"/>
    <x:xf numFmtId="202" fontId="2" fillId="3" borderId="0" xfId="0" applyNumberFormat="1" applyFont="1" applyFill="1" applyBorder="1"/>
    <x:xf numFmtId="202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2" fillId="3" borderId="0" xfId="0" applyNumberFormat="1" applyFont="1" applyFill="1" applyBorder="1" applyAlignment="1">
      <x:alignment wrapText="1"/>
    </x:xf>
    <x:xf numFmtId="201" fontId="2" fillId="3" borderId="0" xfId="0" applyNumberFormat="1" applyFont="1" applyFill="1" applyBorder="1" applyAlignment="1">
      <x:alignment wrapText="1"/>
    </x:xf>
    <x:xf numFmtId="202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2" fillId="3" borderId="1" xfId="0" applyNumberFormat="1" applyFont="1" applyFill="1" applyBorder="1" applyAlignment="1">
      <x:alignment wrapText="1"/>
    </x:xf>
    <x:xf numFmtId="201" fontId="2" fillId="3" borderId="1" xfId="0" applyNumberFormat="1" applyFont="1" applyFill="1" applyBorder="1" applyAlignment="1">
      <x:alignment wrapText="1"/>
    </x:xf>
    <x:xf numFmtId="202" fontId="2" fillId="3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2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3" fontId="2" fillId="0" borderId="0" xfId="0" applyNumberFormat="1" applyFont="1" applyFill="1" applyBorder="1"/>
    <x:xf numFmtId="202" fontId="2" fillId="0" borderId="1" xfId="0" applyNumberFormat="1" applyFont="1" applyFill="1" applyBorder="1"/>
    <x:xf numFmtId="200" fontId="2" fillId="0" borderId="1" xfId="0" applyNumberFormat="1" applyFont="1" applyFill="1" applyBorder="1"/>
    <x:xf numFmtId="201" fontId="2" fillId="0" borderId="1" xfId="0" applyNumberFormat="1" applyFont="1" applyFill="1" applyBorder="1"/>
    <x:xf numFmtId="203" fontId="2" fillId="0" borderId="1" xfId="0" applyNumberFormat="1" applyFont="1" applyFill="1" applyBorder="1"/>
    <x:xf numFmtId="201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0" xfId="0" applyNumberFormat="1" applyFont="1" applyFill="1" applyBorder="1"/>
    <x:xf numFmtId="203" fontId="3" fillId="0" borderId="0" xfId="0" applyNumberFormat="1" applyFont="1" applyFill="1" applyBorder="1"/>
    <x:xf numFmtId="204" fontId="3" fillId="0" borderId="0" xfId="0" applyNumberFormat="1" applyFont="1" applyFill="1" applyBorder="1"/>
    <x:xf numFmtId="201" fontId="3" fillId="0" borderId="1" xfId="0" applyNumberFormat="1" applyFont="1" applyFill="1" applyBorder="1"/>
    <x:xf numFmtId="200" fontId="3" fillId="0" borderId="1" xfId="0" applyNumberFormat="1" applyFont="1" applyFill="1" applyBorder="1"/>
    <x:xf numFmtId="0" fontId="3" fillId="0" borderId="1" xfId="0" applyNumberFormat="1" applyFont="1" applyFill="1" applyBorder="1"/>
    <x:xf numFmtId="203" fontId="3" fillId="0" borderId="1" xfId="0" applyNumberFormat="1" applyFont="1" applyFill="1" applyBorder="1"/>
    <x:xf numFmtId="204" fontId="3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205" fontId="2" fillId="0" borderId="0" xfId="0" applyNumberFormat="1" applyFont="1" applyFill="1" applyBorder="1"/>
    <x:xf numFmtId="205" fontId="3" fillId="0" borderId="0" xfId="0" applyNumberFormat="1" applyFont="1" applyFill="1" applyBorder="1"/>
    <x:xf numFmtId="205" fontId="2" fillId="0" borderId="1" xfId="0" applyNumberFormat="1" applyFont="1" applyFill="1" applyBorder="1"/>
    <x:xf numFmtId="205" fontId="3" fillId="0" borderId="1" xfId="0" applyNumberFormat="1" applyFont="1" applyFill="1" applyBorder="1"/>
    <x:xf numFmtId="0" fontId="0" fillId="0" borderId="2" xfId="0" applyNumberFormat="1" applyFont="1" applyFill="1" applyBorder="1"/>
    <x:xf numFmtId="202" fontId="2" fillId="0" borderId="2" xfId="0" applyNumberFormat="1" applyFont="1" applyFill="1" applyBorder="1"/>
    <x:xf numFmtId="202" fontId="3" fillId="0" borderId="2" xfId="0" applyNumberFormat="1" applyFont="1" applyFill="1" applyBorder="1"/>
    <x:xf numFmtId="0" fontId="0" fillId="0" borderId="3" xfId="0" applyNumberFormat="1" applyFont="1" applyFill="1" applyBorder="1"/>
    <x:xf numFmtId="202" fontId="2" fillId="0" borderId="3" xfId="0" applyNumberFormat="1" applyFont="1" applyFill="1" applyBorder="1"/>
    <x:xf numFmtId="202" fontId="3" fillId="0" borderId="3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1" fontId="2" fillId="0" borderId="2" xfId="0" applyNumberFormat="1" applyFont="1" applyFill="1" applyBorder="1"/>
    <x:xf numFmtId="201" fontId="3" fillId="0" borderId="2" xfId="0" applyNumberFormat="1" applyFont="1" applyFill="1" applyBorder="1"/>
    <x:xf numFmtId="201" fontId="2" fillId="0" borderId="3" xfId="0" applyNumberFormat="1" applyFont="1" applyFill="1" applyBorder="1"/>
    <x:xf numFmtId="201" fontId="3" fillId="0" borderId="3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7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7" fontId="0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13" xfId="0" applyNumberFormat="1" applyFont="1" applyFill="1" applyBorder="1"/>
    <x:xf numFmtId="0" fontId="0" fillId="4" borderId="14" xfId="0" applyNumberFormat="1" applyFont="1" applyFill="1" applyBorder="1"/>
    <x:xf numFmtId="0" fontId="0" fillId="4" borderId="15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0" xfId="0" applyNumberFormat="1" applyFont="1" applyFill="1" applyBorder="1" applyAlignment="1">
      <x:alignment horizontal="center"/>
    </x:xf>
    <x:xf numFmtId="0" fontId="4" fillId="5" borderId="11" xfId="0" applyNumberFormat="1" applyFont="1" applyFill="1" applyBorder="1" applyAlignment="1">
      <x:alignment horizontal="center"/>
    </x:xf>
    <x:xf numFmtId="0" fontId="4" fillId="5" borderId="10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center" vertical="center"/>
    </x:xf>
    <x:xf numFmtId="0" fontId="5" fillId="4" borderId="6" xfId="0" applyNumberFormat="1" applyFont="1" applyFill="1" applyBorder="1"/>
    <x:xf numFmtId="0" fontId="5" fillId="4" borderId="7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5" fillId="4" borderId="6" xfId="0" applyNumberFormat="1" applyFont="1" applyFill="1" applyBorder="1" applyAlignment="1">
      <x:alignment horizontal="center"/>
    </x:xf>
    <x:xf numFmtId="0" fontId="5" fillId="4" borderId="7" xfId="0" applyNumberFormat="1" applyFont="1" applyFill="1" applyBorder="1" applyAlignment="1">
      <x:alignment horizontal="center"/>
    </x:xf>
    <x:xf numFmtId="0" fontId="5" fillId="4" borderId="8" xfId="0" applyNumberFormat="1" applyFont="1" applyFill="1" applyBorder="1" applyAlignment="1">
      <x:alignment horizontal="center"/>
    </x:xf>
    <x:xf numFmtId="0" fontId="5" fillId="4" borderId="9" xfId="0" applyNumberFormat="1" applyFont="1" applyFill="1" applyBorder="1" applyAlignment="1">
      <x:alignment horizontal="center"/>
    </x:xf>
    <x:xf numFmtId="0" fontId="5" fillId="4" borderId="6" xfId="0" applyNumberFormat="1" applyFont="1" applyFill="1" applyBorder="1" applyAlignment="1">
      <x:alignment horizontal="center" vertical="center"/>
    </x:xf>
    <x:xf numFmtId="0" fontId="5" fillId="4" borderId="7" xfId="0" applyNumberFormat="1" applyFont="1" applyFill="1" applyBorder="1" applyAlignment="1">
      <x:alignment horizontal="center" vertical="center"/>
    </x:xf>
    <x:xf numFmtId="0" fontId="5" fillId="4" borderId="8" xfId="0" applyNumberFormat="1" applyFont="1" applyFill="1" applyBorder="1" applyAlignment="1">
      <x:alignment horizontal="center" vertical="center"/>
    </x:xf>
    <x:xf numFmtId="0" fontId="5" fillId="4" borderId="9" xfId="0" applyNumberFormat="1" applyFont="1" applyFill="1" applyBorder="1" applyAlignment="1">
      <x:alignment horizontal="center" vertical="center"/>
    </x:xf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0" fontId="5" fillId="4" borderId="14" xfId="0" applyNumberFormat="1" applyFont="1" applyFill="1" applyBorder="1"/>
    <x:xf numFmtId="0" fontId="5" fillId="4" borderId="15" xfId="0" applyNumberFormat="1" applyFont="1" applyFill="1" applyBorder="1"/>
    <x:xf numFmtId="0" fontId="5" fillId="4" borderId="12" xfId="0" applyNumberFormat="1" applyFont="1" applyFill="1" applyBorder="1" applyAlignment="1">
      <x:alignment horizontal="center"/>
    </x:xf>
    <x:xf numFmtId="0" fontId="5" fillId="4" borderId="13" xfId="0" applyNumberFormat="1" applyFont="1" applyFill="1" applyBorder="1" applyAlignment="1">
      <x:alignment horizontal="center"/>
    </x:xf>
    <x:xf numFmtId="0" fontId="5" fillId="4" borderId="14" xfId="0" applyNumberFormat="1" applyFont="1" applyFill="1" applyBorder="1" applyAlignment="1">
      <x:alignment horizontal="center"/>
    </x:xf>
    <x:xf numFmtId="0" fontId="5" fillId="4" borderId="15" xfId="0" applyNumberFormat="1" applyFont="1" applyFill="1" applyBorder="1" applyAlignment="1">
      <x:alignment horizontal="center"/>
    </x:xf>
    <x:xf numFmtId="0" fontId="5" fillId="4" borderId="12" xfId="0" applyNumberFormat="1" applyFont="1" applyFill="1" applyBorder="1" applyAlignment="1">
      <x:alignment horizontal="center" vertical="center"/>
    </x:xf>
    <x:xf numFmtId="0" fontId="5" fillId="4" borderId="13" xfId="0" applyNumberFormat="1" applyFont="1" applyFill="1" applyBorder="1" applyAlignment="1">
      <x:alignment horizontal="center" vertical="center"/>
    </x:xf>
    <x:xf numFmtId="0" fontId="5" fillId="4" borderId="14" xfId="0" applyNumberFormat="1" applyFont="1" applyFill="1" applyBorder="1" applyAlignment="1">
      <x:alignment horizontal="center" vertical="center"/>
    </x:xf>
    <x:xf numFmtId="0" fontId="5" fillId="4" borderId="15" xfId="0" applyNumberFormat="1" applyFont="1" applyFill="1" applyBorder="1" applyAlignment="1">
      <x:alignment horizontal="center" vertical="center"/>
    </x:xf>
    <x:xf numFmtId="208" fontId="5" fillId="4" borderId="6" xfId="0" applyNumberFormat="1" applyFont="1" applyFill="1" applyBorder="1" applyAlignment="1">
      <x:alignment horizontal="center" vertical="center"/>
    </x:xf>
    <x:xf numFmtId="208" fontId="5" fillId="4" borderId="12" xfId="0" applyNumberFormat="1" applyFont="1" applyFill="1" applyBorder="1" applyAlignment="1">
      <x:alignment horizontal="center" vertical="center"/>
    </x:xf>
    <x:xf numFmtId="209" fontId="5" fillId="4" borderId="6" xfId="0" applyNumberFormat="1" applyFont="1" applyFill="1" applyBorder="1" applyAlignment="1">
      <x:alignment horizontal="center" vertical="center"/>
    </x:xf>
    <x:xf numFmtId="209" fontId="5" fillId="4" borderId="12" xfId="0" applyNumberFormat="1" applyFont="1" applyFill="1" applyBorder="1" applyAlignment="1">
      <x:alignment horizontal="center" vertical="center"/>
    </x:xf>
    <x:xf numFmtId="201" fontId="5" fillId="4" borderId="6" xfId="0" applyNumberFormat="1" applyFont="1" applyFill="1" applyBorder="1" applyAlignment="1">
      <x:alignment horizontal="center" vertical="center"/>
    </x:xf>
    <x:xf numFmtId="201" fontId="5" fillId="4" borderId="12" xfId="0" applyNumberFormat="1" applyFont="1" applyFill="1" applyBorder="1" applyAlignment="1">
      <x:alignment horizontal="center" vertical="center"/>
    </x:xf>
    <x:xf numFmtId="209" fontId="0" fillId="0" borderId="0" xfId="0" applyNumberFormat="1" applyFont="1" applyFill="1" applyBorder="1"/>
    <x:xf numFmtId="209" fontId="0" fillId="0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208" fontId="5" fillId="4" borderId="6" xfId="0" applyNumberFormat="1" applyFont="1" applyFill="1" applyBorder="1" applyAlignment="1">
      <x:alignment horizontal="center" vertical="center" wrapText="1"/>
    </x:xf>
    <x:xf numFmtId="0" fontId="5" fillId="4" borderId="7" xfId="0" applyNumberFormat="1" applyFont="1" applyFill="1" applyBorder="1" applyAlignment="1">
      <x:alignment horizontal="center" vertical="center" wrapText="1"/>
    </x:xf>
    <x:xf numFmtId="209" fontId="5" fillId="4" borderId="6" xfId="0" applyNumberFormat="1" applyFont="1" applyFill="1" applyBorder="1" applyAlignment="1">
      <x:alignment horizontal="center" vertical="center" wrapText="1"/>
    </x:xf>
    <x:xf numFmtId="201" fontId="5" fillId="4" borderId="6" xfId="0" applyNumberFormat="1" applyFont="1" applyFill="1" applyBorder="1" applyAlignment="1">
      <x:alignment horizontal="center" vertical="center" wrapText="1"/>
    </x:xf>
    <x:xf numFmtId="0" fontId="5" fillId="4" borderId="8" xfId="0" applyNumberFormat="1" applyFont="1" applyFill="1" applyBorder="1" applyAlignment="1">
      <x:alignment horizontal="center" vertical="center" wrapText="1"/>
    </x:xf>
    <x:xf numFmtId="0" fontId="5" fillId="4" borderId="9" xfId="0" applyNumberFormat="1" applyFont="1" applyFill="1" applyBorder="1" applyAlignment="1">
      <x:alignment horizontal="center" vertical="center" wrapText="1"/>
    </x:xf>
    <x:xf numFmtId="209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208" fontId="5" fillId="4" borderId="12" xfId="0" applyNumberFormat="1" applyFont="1" applyFill="1" applyBorder="1" applyAlignment="1">
      <x:alignment horizontal="center" vertical="center" wrapText="1"/>
    </x:xf>
    <x:xf numFmtId="0" fontId="5" fillId="4" borderId="13" xfId="0" applyNumberFormat="1" applyFont="1" applyFill="1" applyBorder="1" applyAlignment="1">
      <x:alignment horizontal="center" vertical="center" wrapText="1"/>
    </x:xf>
    <x:xf numFmtId="209" fontId="5" fillId="4" borderId="12" xfId="0" applyNumberFormat="1" applyFont="1" applyFill="1" applyBorder="1" applyAlignment="1">
      <x:alignment horizontal="center" vertical="center" wrapText="1"/>
    </x:xf>
    <x:xf numFmtId="201" fontId="5" fillId="4" borderId="12" xfId="0" applyNumberFormat="1" applyFont="1" applyFill="1" applyBorder="1" applyAlignment="1">
      <x:alignment horizontal="center" vertical="center" wrapText="1"/>
    </x:xf>
    <x:xf numFmtId="0" fontId="5" fillId="4" borderId="14" xfId="0" applyNumberFormat="1" applyFont="1" applyFill="1" applyBorder="1" applyAlignment="1">
      <x:alignment horizontal="center" vertical="center" wrapText="1"/>
    </x:xf>
    <x:xf numFmtId="0" fontId="5" fillId="4" borderId="15" xfId="0" applyNumberFormat="1" applyFont="1" applyFill="1" applyBorder="1" applyAlignment="1">
      <x:alignment horizontal="center" vertical="center" wrapText="1"/>
    </x:xf>
    <x:xf numFmtId="209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1" fontId="2" fillId="3" borderId="1" xfId="0" applyNumberFormat="1" applyFont="1" applyFill="1" applyBorder="1" applyAlignment="1">
      <x:alignment vertical="center" wrapText="1"/>
    </x:xf>
    <x:xf numFmtId="202" fontId="2" fillId="3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202" fontId="2" fillId="0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3" fontId="3" fillId="0" borderId="1" xfId="0" applyNumberFormat="1" applyFont="1" applyFill="1" applyBorder="1" applyAlignment="1">
      <x:alignment vertical="center"/>
    </x:xf>
    <x:xf numFmtId="204" fontId="3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202" fontId="2" fillId="0" borderId="2" xfId="0" applyNumberFormat="1" applyFont="1" applyFill="1" applyBorder="1" applyAlignment="1">
      <x:alignment vertical="center"/>
    </x:xf>
    <x:xf numFmtId="202" fontId="3" fillId="0" borderId="2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5" fontId="2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1" fontId="3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202" fontId="2" fillId="0" borderId="3" xfId="0" applyNumberFormat="1" applyFont="1" applyFill="1" applyBorder="1" applyAlignment="1">
      <x:alignment vertical="center"/>
    </x:xf>
    <x:xf numFmtId="202" fontId="3" fillId="0" borderId="3" xfId="0" applyNumberFormat="1" applyFont="1" applyFill="1" applyBorder="1" applyAlignment="1">
      <x:alignment vertical="center"/>
    </x:xf>
    <x:xf numFmtId="202" fontId="3" fillId="0" borderId="1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205" fontId="2" fillId="0" borderId="1" xfId="0" applyNumberFormat="1" applyFont="1" applyFill="1" applyBorder="1" applyAlignment="1">
      <x:alignment vertical="center"/>
    </x:xf>
    <x:xf numFmtId="205" fontId="3" fillId="0" borderId="1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  <x:xf numFmtId="201" fontId="3" fillId="0" borderId="3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6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7" fontId="0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7" fontId="0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9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209" fontId="0" fillId="0" borderId="1" xfId="0" applyNumberFormat="1" applyFont="1" applyFill="1" applyBorder="1" applyAlignment="1">
      <x:alignment vertical="center" wrapText="1"/>
    </x:xf>
    <x:xf numFmtId="204" fontId="0" fillId="0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209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4B5563"/>
      </x:font>
      <x:fill>
        <x:patternFill patternType="solid">
          <x:bgColor rgb="FFF3F4F6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9edf43690142a5" /><Relationship Type="http://schemas.openxmlformats.org/officeDocument/2006/relationships/theme" Target="/xl/theme/theme1.xml" Id="Re4ed8cc0c27741ca" /><Relationship Type="http://schemas.openxmlformats.org/officeDocument/2006/relationships/sharedStrings" Target="/xl/sharedStrings.xml" Id="R15d1820647344c2f" /><Relationship Type="http://schemas.openxmlformats.org/officeDocument/2006/relationships/worksheet" Target="/xl/worksheets/sheet1.xml" Id="Rd4d44c0b35714c55" /><Relationship Type="http://schemas.openxmlformats.org/officeDocument/2006/relationships/worksheet" Target="/xl/worksheets/sheet2.xml" Id="R902de6b4d56f471e" /><Relationship Type="http://schemas.openxmlformats.org/officeDocument/2006/relationships/worksheet" Target="/xl/worksheets/sheet3.xml" Id="Rbd20e9a42be74c8b" /><Relationship Type="http://schemas.openxmlformats.org/officeDocument/2006/relationships/worksheet" Target="/xl/worksheets/sheet4.xml" Id="R8ad4aea61caa4a7b" /><Relationship Type="http://schemas.openxmlformats.org/officeDocument/2006/relationships/worksheet" Target="/xl/worksheets/sheet5.xml" Id="R77c4a765f2424416" /><Relationship Type="http://schemas.openxmlformats.org/officeDocument/2006/relationships/worksheet" Target="/xl/worksheets/sheet6.xml" Id="R1a669352eef44b7f" /><Relationship Type="http://schemas.openxmlformats.org/officeDocument/2006/relationships/worksheet" Target="/xl/worksheets/sheet7.xml" Id="R6e956fc1b62c4408" /><Relationship Type="http://schemas.openxmlformats.org/officeDocument/2006/relationships/worksheet" Target="/xl/worksheets/sheet8.xml" Id="R4538a6150d3e48e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3e4ddba9cf84b2d" /><Relationship Type="http://schemas.openxmlformats.org/officeDocument/2006/relationships/chart" Target="/xl/drawings/charts/chart2.xml" Id="R4006a756d256427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5 Coverage Priorities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Priority Score</c:v>
          </c:tx>
          <c:cat>
            <c:strRef>
              <c:f>'Executive Dashboard'!$A$35:$A$39</c:f>
              <c:strCache>
                <c:ptCount val="0"/>
              </c:strCache>
            </c:strRef>
          </c:cat>
          <c:val>
            <c:numRef>
              <c:f>'Executive Dashboard'!$B$35:$B$39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AetherGrid Revenue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Revenue ($MM)</c:v>
          </c:tx>
          <c:cat>
            <c:strRef>
              <c:f>'Executive Dashboard'!$D$35:$D$40</c:f>
              <c:strCache>
                <c:ptCount val="0"/>
              </c:strCache>
            </c:strRef>
          </c:cat>
          <c:val>
            <c:numRef>
              <c:f>'Executive Dashboard'!$E$35:$E$40</c:f>
              <c:numCache>
                <c:formatCode>$#,##0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6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e4ddba9cf84b2d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06a756d256427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a68ff7f74642436a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55" hidden="0" customWidth="1"/>
  </x:cols>
  <x:sheetData>
    <x:row r="1">
      <x:c r="A1" s="24" t="str">
        <x:v>Transformative Technology Commercial Banking Model — Key Assumptions</x:v>
      </x:c>
      <x:c r="B1" s="24"/>
      <x:c r="C1" s="24"/>
      <x:c r="D1" s="24"/>
      <x:c r="E1" s="24"/>
      <x:c r="F1" s="24"/>
      <x:c r="G1" s="186"/>
      <x:c r="H1" s="186"/>
      <x:c r="I1" s="186"/>
      <x:c r="J1" s="186"/>
      <x:c r="K1" s="186"/>
      <x:c r="L1" s="186"/>
      <x:c r="M1" s="186"/>
      <x:c r="N1" s="186"/>
      <x:c r="O1" s="186"/>
      <x:c r="P1" s="186"/>
      <x:c r="Q1" s="186"/>
      <x:c r="R1" s="186"/>
      <x:c r="S1" s="186"/>
      <x:c r="T1" s="186"/>
      <x:c r="U1" s="186"/>
      <x:c r="V1" s="186"/>
      <x:c r="W1" s="186"/>
      <x:c r="X1" s="186"/>
      <x:c r="Y1" s="186"/>
      <x:c r="Z1" s="186"/>
    </x:row>
    <x:row r="2">
      <x:c r="A2" s="187"/>
      <x:c r="B2" s="187"/>
      <x:c r="C2" s="187"/>
      <x:c r="D2" s="187"/>
      <x:c r="E2" s="187"/>
      <x:c r="F2" s="187"/>
      <x:c r="G2" s="186"/>
      <x:c r="H2" s="186"/>
      <x:c r="I2" s="186"/>
      <x:c r="J2" s="186"/>
      <x:c r="K2" s="186"/>
      <x:c r="L2" s="186"/>
      <x:c r="M2" s="186"/>
      <x:c r="N2" s="186"/>
      <x:c r="O2" s="186"/>
      <x:c r="P2" s="186"/>
      <x:c r="Q2" s="186"/>
      <x:c r="R2" s="186"/>
      <x:c r="S2" s="186"/>
      <x:c r="T2" s="186"/>
      <x:c r="U2" s="186"/>
      <x:c r="V2" s="186"/>
      <x:c r="W2" s="186"/>
      <x:c r="X2" s="186"/>
      <x:c r="Y2" s="186"/>
      <x:c r="Z2" s="186"/>
    </x:row>
    <x:row r="3">
      <x:c r="A3" s="26" t="str">
        <x:v>Assumption</x:v>
      </x:c>
      <x:c r="B3" s="26" t="str">
        <x:v>Value</x:v>
      </x:c>
      <x:c r="C3" s="26" t="str">
        <x:v>Source / Note</x:v>
      </x:c>
      <x:c r="D3" s="187"/>
      <x:c r="E3" s="187"/>
      <x:c r="F3" s="187"/>
      <x:c r="G3" s="186"/>
      <x:c r="H3" s="186"/>
      <x:c r="I3" s="186"/>
      <x:c r="J3" s="186"/>
      <x:c r="K3" s="186"/>
      <x:c r="L3" s="186"/>
      <x:c r="M3" s="186"/>
      <x:c r="N3" s="186"/>
      <x:c r="O3" s="186"/>
      <x:c r="P3" s="186"/>
      <x:c r="Q3" s="186"/>
      <x:c r="R3" s="186"/>
      <x:c r="S3" s="186"/>
      <x:c r="T3" s="186"/>
      <x:c r="U3" s="186"/>
      <x:c r="V3" s="186"/>
      <x:c r="W3" s="186"/>
      <x:c r="X3" s="186"/>
      <x:c r="Y3" s="186"/>
      <x:c r="Z3" s="186"/>
    </x:row>
    <x:row r="4">
      <x:c r="A4" s="187" t="str">
        <x:v>Fed Funds Target - Lower</x:v>
      </x:c>
      <x:c r="B4" s="188" t="n">
        <x:v>0.035</x:v>
      </x:c>
      <x:c r="C4" s="187" t="str">
        <x:v>Federal Reserve, July 29 2026</x:v>
      </x:c>
      <x:c r="D4" s="187"/>
      <x:c r="E4" s="187"/>
      <x:c r="F4" s="187"/>
      <x:c r="G4" s="186"/>
      <x:c r="H4" s="186"/>
      <x:c r="I4" s="186"/>
      <x:c r="J4" s="186"/>
      <x:c r="K4" s="186"/>
      <x:c r="L4" s="186"/>
      <x:c r="M4" s="186"/>
      <x:c r="N4" s="186"/>
      <x:c r="O4" s="186"/>
      <x:c r="P4" s="186"/>
      <x:c r="Q4" s="186"/>
      <x:c r="R4" s="186"/>
      <x:c r="S4" s="186"/>
      <x:c r="T4" s="186"/>
      <x:c r="U4" s="186"/>
      <x:c r="V4" s="186"/>
      <x:c r="W4" s="186"/>
      <x:c r="X4" s="186"/>
      <x:c r="Y4" s="186"/>
      <x:c r="Z4" s="186"/>
    </x:row>
    <x:row r="5">
      <x:c r="A5" s="187" t="str">
        <x:v>Fed Funds Target - Upper</x:v>
      </x:c>
      <x:c r="B5" s="188" t="n">
        <x:v>0.0375</x:v>
      </x:c>
      <x:c r="C5" s="187" t="str">
        <x:v>Federal Reserve, July 29 2026</x:v>
      </x:c>
      <x:c r="D5" s="187"/>
      <x:c r="E5" s="187"/>
      <x:c r="F5" s="187"/>
      <x:c r="G5" s="186"/>
      <x:c r="H5" s="186"/>
      <x:c r="I5" s="186"/>
      <x:c r="J5" s="186"/>
      <x:c r="K5" s="186"/>
      <x:c r="L5" s="186"/>
      <x:c r="M5" s="186"/>
      <x:c r="N5" s="186"/>
      <x:c r="O5" s="186"/>
      <x:c r="P5" s="186"/>
      <x:c r="Q5" s="186"/>
      <x:c r="R5" s="186"/>
      <x:c r="S5" s="186"/>
      <x:c r="T5" s="186"/>
      <x:c r="U5" s="186"/>
      <x:c r="V5" s="186"/>
      <x:c r="W5" s="186"/>
      <x:c r="X5" s="186"/>
      <x:c r="Y5" s="186"/>
      <x:c r="Z5" s="186"/>
    </x:row>
    <x:row r="6">
      <x:c r="A6" s="187" t="str">
        <x:v>Illustrative Base Reference Rate</x:v>
      </x:c>
      <x:c r="B6" s="188" t="n">
        <x:v>0.0365</x:v>
      </x:c>
      <x:c r="C6" s="187" t="str">
        <x:v>Project assumption within current policy range</x:v>
      </x:c>
      <x:c r="D6" s="187"/>
      <x:c r="E6" s="187"/>
      <x:c r="F6" s="187"/>
      <x:c r="G6" s="186"/>
      <x:c r="H6" s="186"/>
      <x:c r="I6" s="186"/>
      <x:c r="J6" s="186"/>
      <x:c r="K6" s="186"/>
      <x:c r="L6" s="186"/>
      <x:c r="M6" s="186"/>
      <x:c r="N6" s="186"/>
      <x:c r="O6" s="186"/>
      <x:c r="P6" s="186"/>
      <x:c r="Q6" s="186"/>
      <x:c r="R6" s="186"/>
      <x:c r="S6" s="186"/>
      <x:c r="T6" s="186"/>
      <x:c r="U6" s="186"/>
      <x:c r="V6" s="186"/>
      <x:c r="W6" s="186"/>
      <x:c r="X6" s="186"/>
      <x:c r="Y6" s="186"/>
      <x:c r="Z6" s="186"/>
    </x:row>
    <x:row r="7">
      <x:c r="A7" s="187" t="str">
        <x:v>Base Credit Spread</x:v>
      </x:c>
      <x:c r="B7" s="188" t="n">
        <x:v>0.0225</x:v>
      </x:c>
      <x:c r="C7" s="187" t="str">
        <x:v>Synthetic project assumption</x:v>
      </x:c>
      <x:c r="D7" s="187"/>
      <x:c r="E7" s="187"/>
      <x:c r="F7" s="187"/>
      <x:c r="G7" s="186"/>
      <x:c r="H7" s="186"/>
      <x:c r="I7" s="186"/>
      <x:c r="J7" s="186"/>
      <x:c r="K7" s="186"/>
      <x:c r="L7" s="186"/>
      <x:c r="M7" s="186"/>
      <x:c r="N7" s="186"/>
      <x:c r="O7" s="186"/>
      <x:c r="P7" s="186"/>
      <x:c r="Q7" s="186"/>
      <x:c r="R7" s="186"/>
      <x:c r="S7" s="186"/>
      <x:c r="T7" s="186"/>
      <x:c r="U7" s="186"/>
      <x:c r="V7" s="186"/>
      <x:c r="W7" s="186"/>
      <x:c r="X7" s="186"/>
      <x:c r="Y7" s="186"/>
      <x:c r="Z7" s="186"/>
    </x:row>
    <x:row r="8">
      <x:c r="A8" s="187" t="str">
        <x:v>Downside Reference Rate</x:v>
      </x:c>
      <x:c r="B8" s="188" t="n">
        <x:v>0.0425</x:v>
      </x:c>
      <x:c r="C8" s="187" t="str">
        <x:v>Synthetic stress assumption</x:v>
      </x:c>
      <x:c r="D8" s="187"/>
      <x:c r="E8" s="187"/>
      <x:c r="F8" s="187"/>
      <x:c r="G8" s="186"/>
      <x:c r="H8" s="186"/>
      <x:c r="I8" s="186"/>
      <x:c r="J8" s="186"/>
      <x:c r="K8" s="186"/>
      <x:c r="L8" s="186"/>
      <x:c r="M8" s="186"/>
      <x:c r="N8" s="186"/>
      <x:c r="O8" s="186"/>
      <x:c r="P8" s="186"/>
      <x:c r="Q8" s="186"/>
      <x:c r="R8" s="186"/>
      <x:c r="S8" s="186"/>
      <x:c r="T8" s="186"/>
      <x:c r="U8" s="186"/>
      <x:c r="V8" s="186"/>
      <x:c r="W8" s="186"/>
      <x:c r="X8" s="186"/>
      <x:c r="Y8" s="186"/>
      <x:c r="Z8" s="186"/>
    </x:row>
    <x:row r="9">
      <x:c r="A9" s="187" t="str">
        <x:v>Downside Credit Spread</x:v>
      </x:c>
      <x:c r="B9" s="188" t="n">
        <x:v>0.03</x:v>
      </x:c>
      <x:c r="C9" s="187" t="str">
        <x:v>Synthetic stress assumption</x:v>
      </x:c>
      <x:c r="D9" s="187"/>
      <x:c r="E9" s="187"/>
      <x:c r="F9" s="187"/>
      <x:c r="G9" s="186"/>
      <x:c r="H9" s="186"/>
      <x:c r="I9" s="186"/>
      <x:c r="J9" s="186"/>
      <x:c r="K9" s="186"/>
      <x:c r="L9" s="186"/>
      <x:c r="M9" s="186"/>
      <x:c r="N9" s="186"/>
      <x:c r="O9" s="186"/>
      <x:c r="P9" s="186"/>
      <x:c r="Q9" s="186"/>
      <x:c r="R9" s="186"/>
      <x:c r="S9" s="186"/>
      <x:c r="T9" s="186"/>
      <x:c r="U9" s="186"/>
      <x:c r="V9" s="186"/>
      <x:c r="W9" s="186"/>
      <x:c r="X9" s="186"/>
      <x:c r="Y9" s="186"/>
      <x:c r="Z9" s="186"/>
    </x:row>
    <x:row r="10">
      <x:c r="A10" s="187" t="str">
        <x:v>Cash Tax Rate</x:v>
      </x:c>
      <x:c r="B10" s="188" t="n">
        <x:v>0.25</x:v>
      </x:c>
      <x:c r="C10" s="187" t="str">
        <x:v>Synthetic project assumption</x:v>
      </x:c>
      <x:c r="D10" s="187"/>
      <x:c r="E10" s="187"/>
      <x:c r="F10" s="187"/>
      <x:c r="G10" s="186"/>
      <x:c r="H10" s="186"/>
      <x:c r="I10" s="186"/>
      <x:c r="J10" s="186"/>
      <x:c r="K10" s="186"/>
      <x:c r="L10" s="186"/>
      <x:c r="M10" s="186"/>
      <x:c r="N10" s="186"/>
      <x:c r="O10" s="186"/>
      <x:c r="P10" s="186"/>
      <x:c r="Q10" s="186"/>
      <x:c r="R10" s="186"/>
      <x:c r="S10" s="186"/>
      <x:c r="T10" s="186"/>
      <x:c r="U10" s="186"/>
      <x:c r="V10" s="186"/>
      <x:c r="W10" s="186"/>
      <x:c r="X10" s="186"/>
      <x:c r="Y10" s="186"/>
      <x:c r="Z10" s="186"/>
    </x:row>
    <x:row r="11">
      <x:c r="A11" s="187" t="str">
        <x:v>Capex as % of Revenue</x:v>
      </x:c>
      <x:c r="B11" s="188" t="n">
        <x:v>0.05</x:v>
      </x:c>
      <x:c r="C11" s="187" t="str">
        <x:v>Synthetic project assumption</x:v>
      </x:c>
      <x:c r="D11" s="187"/>
      <x:c r="E11" s="187"/>
      <x:c r="F11" s="187"/>
      <x:c r="G11" s="186"/>
      <x:c r="H11" s="186"/>
      <x:c r="I11" s="186"/>
      <x:c r="J11" s="186"/>
      <x:c r="K11" s="186"/>
      <x:c r="L11" s="186"/>
      <x:c r="M11" s="186"/>
      <x:c r="N11" s="186"/>
      <x:c r="O11" s="186"/>
      <x:c r="P11" s="186"/>
      <x:c r="Q11" s="186"/>
      <x:c r="R11" s="186"/>
      <x:c r="S11" s="186"/>
      <x:c r="T11" s="186"/>
      <x:c r="U11" s="186"/>
      <x:c r="V11" s="186"/>
      <x:c r="W11" s="186"/>
      <x:c r="X11" s="186"/>
      <x:c r="Y11" s="186"/>
      <x:c r="Z11" s="186"/>
    </x:row>
    <x:row r="12">
      <x:c r="A12" s="187" t="str">
        <x:v>Illustrative DSCR Monitoring Threshold</x:v>
      </x:c>
      <x:c r="B12" s="189" t="n">
        <x:v>1.25</x:v>
      </x:c>
      <x:c r="C12" s="187" t="str">
        <x:v>Project screening threshold; not bank policy</x:v>
      </x:c>
      <x:c r="D12" s="187"/>
      <x:c r="E12" s="187"/>
      <x:c r="F12" s="187"/>
      <x:c r="G12" s="186"/>
      <x:c r="H12" s="186"/>
      <x:c r="I12" s="186"/>
      <x:c r="J12" s="186"/>
      <x:c r="K12" s="186"/>
      <x:c r="L12" s="186"/>
      <x:c r="M12" s="186"/>
      <x:c r="N12" s="186"/>
      <x:c r="O12" s="186"/>
      <x:c r="P12" s="186"/>
      <x:c r="Q12" s="186"/>
      <x:c r="R12" s="186"/>
      <x:c r="S12" s="186"/>
      <x:c r="T12" s="186"/>
      <x:c r="U12" s="186"/>
      <x:c r="V12" s="186"/>
      <x:c r="W12" s="186"/>
      <x:c r="X12" s="186"/>
      <x:c r="Y12" s="186"/>
      <x:c r="Z12" s="186"/>
    </x:row>
    <x:row r="13">
      <x:c r="A13" s="187"/>
      <x:c r="B13" s="187"/>
      <x:c r="C13" s="187"/>
      <x:c r="D13" s="187"/>
      <x:c r="E13" s="187"/>
      <x:c r="F13" s="187"/>
      <x:c r="G13" s="186"/>
      <x:c r="H13" s="186"/>
      <x:c r="I13" s="186"/>
      <x:c r="J13" s="186"/>
      <x:c r="K13" s="186"/>
      <x:c r="L13" s="186"/>
      <x:c r="M13" s="186"/>
      <x:c r="N13" s="186"/>
      <x:c r="O13" s="186"/>
      <x:c r="P13" s="186"/>
      <x:c r="Q13" s="186"/>
      <x:c r="R13" s="186"/>
      <x:c r="S13" s="186"/>
      <x:c r="T13" s="186"/>
      <x:c r="U13" s="186"/>
      <x:c r="V13" s="186"/>
      <x:c r="W13" s="186"/>
      <x:c r="X13" s="186"/>
      <x:c r="Y13" s="186"/>
      <x:c r="Z13" s="186"/>
    </x:row>
    <x:row r="14">
      <x:c r="A14" s="26" t="str">
        <x:v>Facility / Relationship Assumption</x:v>
      </x:c>
      <x:c r="B14" s="26" t="str">
        <x:v>Value</x:v>
      </x:c>
      <x:c r="C14" s="26" t="str">
        <x:v>Note</x:v>
      </x:c>
      <x:c r="D14" s="187"/>
      <x:c r="E14" s="187"/>
      <x:c r="F14" s="187"/>
      <x:c r="G14" s="186"/>
      <x:c r="H14" s="186"/>
      <x:c r="I14" s="186"/>
      <x:c r="J14" s="186"/>
      <x:c r="K14" s="186"/>
      <x:c r="L14" s="186"/>
      <x:c r="M14" s="186"/>
      <x:c r="N14" s="186"/>
      <x:c r="O14" s="186"/>
      <x:c r="P14" s="186"/>
      <x:c r="Q14" s="186"/>
      <x:c r="R14" s="186"/>
      <x:c r="S14" s="186"/>
      <x:c r="T14" s="186"/>
      <x:c r="U14" s="186"/>
      <x:c r="V14" s="186"/>
      <x:c r="W14" s="186"/>
      <x:c r="X14" s="186"/>
      <x:c r="Y14" s="186"/>
      <x:c r="Z14" s="186"/>
    </x:row>
    <x:row r="15">
      <x:c r="A15" s="187" t="str">
        <x:v>Illustrative Revolving Credit Facility ($MM)</x:v>
      </x:c>
      <x:c r="B15" s="190" t="n">
        <x:v>50</x:v>
      </x:c>
      <x:c r="C15" s="187" t="str">
        <x:v>Synthetic, for portfolio demonstration only</x:v>
      </x:c>
      <x:c r="D15" s="187"/>
      <x:c r="E15" s="187"/>
      <x:c r="F15" s="187"/>
      <x:c r="G15" s="186"/>
      <x:c r="H15" s="186"/>
      <x:c r="I15" s="186"/>
      <x:c r="J15" s="186"/>
      <x:c r="K15" s="186"/>
      <x:c r="L15" s="186"/>
      <x:c r="M15" s="186"/>
      <x:c r="N15" s="186"/>
      <x:c r="O15" s="186"/>
      <x:c r="P15" s="186"/>
      <x:c r="Q15" s="186"/>
      <x:c r="R15" s="186"/>
      <x:c r="S15" s="186"/>
      <x:c r="T15" s="186"/>
      <x:c r="U15" s="186"/>
      <x:c r="V15" s="186"/>
      <x:c r="W15" s="186"/>
      <x:c r="X15" s="186"/>
      <x:c r="Y15" s="186"/>
      <x:c r="Z15" s="186"/>
    </x:row>
    <x:row r="16">
      <x:c r="A16" s="187"/>
      <x:c r="B16" s="187"/>
      <x:c r="C16" s="187"/>
      <x:c r="D16" s="187"/>
      <x:c r="E16" s="187"/>
      <x:c r="F16" s="187"/>
      <x:c r="G16" s="186"/>
      <x:c r="H16" s="186"/>
      <x:c r="I16" s="186"/>
      <x:c r="J16" s="186"/>
      <x:c r="K16" s="186"/>
      <x:c r="L16" s="186"/>
      <x:c r="M16" s="186"/>
      <x:c r="N16" s="186"/>
      <x:c r="O16" s="186"/>
      <x:c r="P16" s="186"/>
      <x:c r="Q16" s="186"/>
      <x:c r="R16" s="186"/>
      <x:c r="S16" s="186"/>
      <x:c r="T16" s="186"/>
      <x:c r="U16" s="186"/>
      <x:c r="V16" s="186"/>
      <x:c r="W16" s="186"/>
      <x:c r="X16" s="186"/>
      <x:c r="Y16" s="186"/>
      <x:c r="Z16" s="186"/>
    </x:row>
    <x:row r="17">
      <x:c r="A17" s="187"/>
      <x:c r="B17" s="187"/>
      <x:c r="C17" s="187"/>
      <x:c r="D17" s="187"/>
      <x:c r="E17" s="187"/>
      <x:c r="F17" s="187"/>
      <x:c r="G17" s="186"/>
      <x:c r="H17" s="186"/>
      <x:c r="I17" s="186"/>
      <x:c r="J17" s="186"/>
      <x:c r="K17" s="186"/>
      <x:c r="L17" s="186"/>
      <x:c r="M17" s="186"/>
      <x:c r="N17" s="186"/>
      <x:c r="O17" s="186"/>
      <x:c r="P17" s="186"/>
      <x:c r="Q17" s="186"/>
      <x:c r="R17" s="186"/>
      <x:c r="S17" s="186"/>
      <x:c r="T17" s="186"/>
      <x:c r="U17" s="186"/>
      <x:c r="V17" s="186"/>
      <x:c r="W17" s="186"/>
      <x:c r="X17" s="186"/>
      <x:c r="Y17" s="186"/>
      <x:c r="Z17" s="186"/>
    </x:row>
    <x:row r="18">
      <x:c r="A18" s="187"/>
      <x:c r="B18" s="187"/>
      <x:c r="C18" s="187"/>
      <x:c r="D18" s="187"/>
      <x:c r="E18" s="187"/>
      <x:c r="F18" s="187"/>
      <x:c r="G18" s="186"/>
      <x:c r="H18" s="186"/>
      <x:c r="I18" s="186"/>
      <x:c r="J18" s="186"/>
      <x:c r="K18" s="186"/>
      <x:c r="L18" s="186"/>
      <x:c r="M18" s="186"/>
      <x:c r="N18" s="186"/>
      <x:c r="O18" s="186"/>
      <x:c r="P18" s="186"/>
      <x:c r="Q18" s="186"/>
      <x:c r="R18" s="186"/>
      <x:c r="S18" s="186"/>
      <x:c r="T18" s="186"/>
      <x:c r="U18" s="186"/>
      <x:c r="V18" s="186"/>
      <x:c r="W18" s="186"/>
      <x:c r="X18" s="186"/>
      <x:c r="Y18" s="186"/>
      <x:c r="Z18" s="186"/>
    </x:row>
    <x:row r="19">
      <x:c r="A19" s="186"/>
      <x:c r="B19" s="186"/>
      <x:c r="C19" s="186"/>
      <x:c r="D19" s="186"/>
      <x:c r="E19" s="186"/>
      <x:c r="F19" s="186"/>
      <x:c r="G19" s="186"/>
      <x:c r="H19" s="186"/>
      <x:c r="I19" s="186"/>
      <x:c r="J19" s="186"/>
      <x:c r="K19" s="186"/>
      <x:c r="L19" s="186"/>
      <x:c r="M19" s="186"/>
      <x:c r="N19" s="186"/>
      <x:c r="O19" s="186"/>
      <x:c r="P19" s="186"/>
      <x:c r="Q19" s="186"/>
      <x:c r="R19" s="186"/>
      <x:c r="S19" s="186"/>
      <x:c r="T19" s="186"/>
      <x:c r="U19" s="186"/>
      <x:c r="V19" s="186"/>
      <x:c r="W19" s="186"/>
      <x:c r="X19" s="186"/>
      <x:c r="Y19" s="186"/>
      <x:c r="Z19" s="186"/>
    </x:row>
    <x:row r="20">
      <x:c r="A20" s="186"/>
      <x:c r="B20" s="186"/>
      <x:c r="C20" s="186"/>
      <x:c r="D20" s="186"/>
      <x:c r="E20" s="186"/>
      <x:c r="F20" s="186"/>
      <x:c r="G20" s="186"/>
      <x:c r="H20" s="186"/>
      <x:c r="I20" s="186"/>
      <x:c r="J20" s="186"/>
      <x:c r="K20" s="186"/>
      <x:c r="L20" s="186"/>
      <x:c r="M20" s="186"/>
      <x:c r="N20" s="186"/>
      <x:c r="O20" s="186"/>
      <x:c r="P20" s="186"/>
      <x:c r="Q20" s="186"/>
      <x:c r="R20" s="186"/>
      <x:c r="S20" s="186"/>
      <x:c r="T20" s="186"/>
      <x:c r="U20" s="186"/>
      <x:c r="V20" s="186"/>
      <x:c r="W20" s="186"/>
      <x:c r="X20" s="186"/>
      <x:c r="Y20" s="186"/>
      <x:c r="Z20" s="186"/>
    </x:row>
    <x:row r="21">
      <x:c r="A21" s="186"/>
      <x:c r="B21" s="186"/>
      <x:c r="C21" s="186"/>
      <x:c r="D21" s="186"/>
      <x:c r="E21" s="186"/>
      <x:c r="F21" s="186"/>
      <x:c r="G21" s="186"/>
      <x:c r="H21" s="186"/>
      <x:c r="I21" s="186"/>
      <x:c r="J21" s="186"/>
      <x:c r="K21" s="186"/>
      <x:c r="L21" s="186"/>
      <x:c r="M21" s="186"/>
      <x:c r="N21" s="186"/>
      <x:c r="O21" s="186"/>
      <x:c r="P21" s="186"/>
      <x:c r="Q21" s="186"/>
      <x:c r="R21" s="186"/>
      <x:c r="S21" s="186"/>
      <x:c r="T21" s="186"/>
      <x:c r="U21" s="186"/>
      <x:c r="V21" s="186"/>
      <x:c r="W21" s="186"/>
      <x:c r="X21" s="186"/>
      <x:c r="Y21" s="186"/>
      <x:c r="Z21" s="186"/>
    </x:row>
    <x:row r="22">
      <x:c r="A22" s="186"/>
      <x:c r="B22" s="186"/>
      <x:c r="C22" s="186"/>
      <x:c r="D22" s="186"/>
      <x:c r="E22" s="186"/>
      <x:c r="F22" s="186"/>
      <x:c r="G22" s="186"/>
      <x:c r="H22" s="186"/>
      <x:c r="I22" s="186"/>
      <x:c r="J22" s="186"/>
      <x:c r="K22" s="186"/>
      <x:c r="L22" s="186"/>
      <x:c r="M22" s="186"/>
      <x:c r="N22" s="186"/>
      <x:c r="O22" s="186"/>
      <x:c r="P22" s="186"/>
      <x:c r="Q22" s="186"/>
      <x:c r="R22" s="186"/>
      <x:c r="S22" s="186"/>
      <x:c r="T22" s="186"/>
      <x:c r="U22" s="186"/>
      <x:c r="V22" s="186"/>
      <x:c r="W22" s="186"/>
      <x:c r="X22" s="186"/>
      <x:c r="Y22" s="186"/>
      <x:c r="Z22" s="186"/>
    </x:row>
    <x:row r="23">
      <x:c r="A23" s="186"/>
      <x:c r="B23" s="186"/>
      <x:c r="C23" s="186"/>
      <x:c r="D23" s="186"/>
      <x:c r="E23" s="186"/>
      <x:c r="F23" s="186"/>
      <x:c r="G23" s="186"/>
      <x:c r="H23" s="186"/>
      <x:c r="I23" s="186"/>
      <x:c r="J23" s="186"/>
      <x:c r="K23" s="186"/>
      <x:c r="L23" s="186"/>
      <x:c r="M23" s="186"/>
      <x:c r="N23" s="186"/>
      <x:c r="O23" s="186"/>
      <x:c r="P23" s="186"/>
      <x:c r="Q23" s="186"/>
      <x:c r="R23" s="186"/>
      <x:c r="S23" s="186"/>
      <x:c r="T23" s="186"/>
      <x:c r="U23" s="186"/>
      <x:c r="V23" s="186"/>
      <x:c r="W23" s="186"/>
      <x:c r="X23" s="186"/>
      <x:c r="Y23" s="186"/>
      <x:c r="Z23" s="186"/>
    </x:row>
    <x:row r="24">
      <x:c r="A24" s="186"/>
      <x:c r="B24" s="186"/>
      <x:c r="C24" s="186"/>
      <x:c r="D24" s="186"/>
      <x:c r="E24" s="186"/>
      <x:c r="F24" s="186"/>
      <x:c r="G24" s="186"/>
      <x:c r="H24" s="186"/>
      <x:c r="I24" s="186"/>
      <x:c r="J24" s="186"/>
      <x:c r="K24" s="186"/>
      <x:c r="L24" s="186"/>
      <x:c r="M24" s="186"/>
      <x:c r="N24" s="186"/>
      <x:c r="O24" s="186"/>
      <x:c r="P24" s="186"/>
      <x:c r="Q24" s="186"/>
      <x:c r="R24" s="186"/>
      <x:c r="S24" s="186"/>
      <x:c r="T24" s="186"/>
      <x:c r="U24" s="186"/>
      <x:c r="V24" s="186"/>
      <x:c r="W24" s="186"/>
      <x:c r="X24" s="186"/>
      <x:c r="Y24" s="186"/>
      <x:c r="Z24" s="186"/>
    </x:row>
    <x:row r="25">
      <x:c r="A25" s="186"/>
      <x:c r="B25" s="186"/>
      <x:c r="C25" s="186"/>
      <x:c r="D25" s="186"/>
      <x:c r="E25" s="186"/>
      <x:c r="F25" s="186"/>
      <x:c r="G25" s="186"/>
      <x:c r="H25" s="186"/>
      <x:c r="I25" s="186"/>
      <x:c r="J25" s="186"/>
      <x:c r="K25" s="186"/>
      <x:c r="L25" s="186"/>
      <x:c r="M25" s="186"/>
      <x:c r="N25" s="186"/>
      <x:c r="O25" s="186"/>
      <x:c r="P25" s="186"/>
      <x:c r="Q25" s="186"/>
      <x:c r="R25" s="186"/>
      <x:c r="S25" s="186"/>
      <x:c r="T25" s="186"/>
      <x:c r="U25" s="186"/>
      <x:c r="V25" s="186"/>
      <x:c r="W25" s="186"/>
      <x:c r="X25" s="186"/>
      <x:c r="Y25" s="186"/>
      <x:c r="Z25" s="186"/>
    </x:row>
    <x:row r="26">
      <x:c r="A26" s="186"/>
      <x:c r="B26" s="186"/>
      <x:c r="C26" s="186"/>
      <x:c r="D26" s="186"/>
      <x:c r="E26" s="186"/>
      <x:c r="F26" s="186"/>
      <x:c r="G26" s="186"/>
      <x:c r="H26" s="186"/>
      <x:c r="I26" s="186"/>
      <x:c r="J26" s="186"/>
      <x:c r="K26" s="186"/>
      <x:c r="L26" s="186"/>
      <x:c r="M26" s="186"/>
      <x:c r="N26" s="186"/>
      <x:c r="O26" s="186"/>
      <x:c r="P26" s="186"/>
      <x:c r="Q26" s="186"/>
      <x:c r="R26" s="186"/>
      <x:c r="S26" s="186"/>
      <x:c r="T26" s="186"/>
      <x:c r="U26" s="186"/>
      <x:c r="V26" s="186"/>
      <x:c r="W26" s="186"/>
      <x:c r="X26" s="186"/>
      <x:c r="Y26" s="186"/>
      <x:c r="Z26" s="186"/>
    </x:row>
    <x:row r="27">
      <x:c r="A27" s="186"/>
      <x:c r="B27" s="186"/>
      <x:c r="C27" s="186"/>
      <x:c r="D27" s="186"/>
      <x:c r="E27" s="186"/>
      <x:c r="F27" s="186"/>
      <x:c r="G27" s="186"/>
      <x:c r="H27" s="186"/>
      <x:c r="I27" s="186"/>
      <x:c r="J27" s="186"/>
      <x:c r="K27" s="186"/>
      <x:c r="L27" s="186"/>
      <x:c r="M27" s="186"/>
      <x:c r="N27" s="186"/>
      <x:c r="O27" s="186"/>
      <x:c r="P27" s="186"/>
      <x:c r="Q27" s="186"/>
      <x:c r="R27" s="186"/>
      <x:c r="S27" s="186"/>
      <x:c r="T27" s="186"/>
      <x:c r="U27" s="186"/>
      <x:c r="V27" s="186"/>
      <x:c r="W27" s="186"/>
      <x:c r="X27" s="186"/>
      <x:c r="Y27" s="186"/>
      <x:c r="Z27" s="186"/>
    </x:row>
    <x:row r="28">
      <x:c r="A28" s="186"/>
      <x:c r="B28" s="186"/>
      <x:c r="C28" s="186"/>
      <x:c r="D28" s="186"/>
      <x:c r="E28" s="186"/>
      <x:c r="F28" s="186"/>
      <x:c r="G28" s="186"/>
      <x:c r="H28" s="186"/>
      <x:c r="I28" s="186"/>
      <x:c r="J28" s="186"/>
      <x:c r="K28" s="186"/>
      <x:c r="L28" s="186"/>
      <x:c r="M28" s="186"/>
      <x:c r="N28" s="186"/>
      <x:c r="O28" s="186"/>
      <x:c r="P28" s="186"/>
      <x:c r="Q28" s="186"/>
      <x:c r="R28" s="186"/>
      <x:c r="S28" s="186"/>
      <x:c r="T28" s="186"/>
      <x:c r="U28" s="186"/>
      <x:c r="V28" s="186"/>
      <x:c r="W28" s="186"/>
      <x:c r="X28" s="186"/>
      <x:c r="Y28" s="186"/>
      <x:c r="Z28" s="186"/>
    </x:row>
    <x:row r="29">
      <x:c r="A29" s="186"/>
      <x:c r="B29" s="186"/>
      <x:c r="C29" s="186"/>
      <x:c r="D29" s="186"/>
      <x:c r="E29" s="186"/>
      <x:c r="F29" s="186"/>
      <x:c r="G29" s="186"/>
      <x:c r="H29" s="186"/>
      <x:c r="I29" s="186"/>
      <x:c r="J29" s="186"/>
      <x:c r="K29" s="186"/>
      <x:c r="L29" s="186"/>
      <x:c r="M29" s="186"/>
      <x:c r="N29" s="186"/>
      <x:c r="O29" s="186"/>
      <x:c r="P29" s="186"/>
      <x:c r="Q29" s="186"/>
      <x:c r="R29" s="186"/>
      <x:c r="S29" s="186"/>
      <x:c r="T29" s="186"/>
      <x:c r="U29" s="186"/>
      <x:c r="V29" s="186"/>
      <x:c r="W29" s="186"/>
      <x:c r="X29" s="186"/>
      <x:c r="Y29" s="186"/>
      <x:c r="Z29" s="186"/>
    </x:row>
    <x:row r="30">
      <x:c r="A30" s="186"/>
      <x:c r="B30" s="186"/>
      <x:c r="C30" s="186"/>
      <x:c r="D30" s="186"/>
      <x:c r="E30" s="186"/>
      <x:c r="F30" s="186"/>
      <x:c r="G30" s="186"/>
      <x:c r="H30" s="186"/>
      <x:c r="I30" s="186"/>
      <x:c r="J30" s="186"/>
      <x:c r="K30" s="186"/>
      <x:c r="L30" s="186"/>
      <x:c r="M30" s="186"/>
      <x:c r="N30" s="186"/>
      <x:c r="O30" s="186"/>
      <x:c r="P30" s="186"/>
      <x:c r="Q30" s="186"/>
      <x:c r="R30" s="186"/>
      <x:c r="S30" s="186"/>
      <x:c r="T30" s="186"/>
      <x:c r="U30" s="186"/>
      <x:c r="V30" s="186"/>
      <x:c r="W30" s="186"/>
      <x:c r="X30" s="186"/>
      <x:c r="Y30" s="186"/>
      <x:c r="Z30" s="186"/>
    </x:row>
    <x:row r="31">
      <x:c r="A31" s="186"/>
      <x:c r="B31" s="186"/>
      <x:c r="C31" s="186"/>
      <x:c r="D31" s="186"/>
      <x:c r="E31" s="186"/>
      <x:c r="F31" s="186"/>
      <x:c r="G31" s="186"/>
      <x:c r="H31" s="186"/>
      <x:c r="I31" s="186"/>
      <x:c r="J31" s="186"/>
      <x:c r="K31" s="186"/>
      <x:c r="L31" s="186"/>
      <x:c r="M31" s="186"/>
      <x:c r="N31" s="186"/>
      <x:c r="O31" s="186"/>
      <x:c r="P31" s="186"/>
      <x:c r="Q31" s="186"/>
      <x:c r="R31" s="186"/>
      <x:c r="S31" s="186"/>
      <x:c r="T31" s="186"/>
      <x:c r="U31" s="186"/>
      <x:c r="V31" s="186"/>
      <x:c r="W31" s="186"/>
      <x:c r="X31" s="186"/>
      <x:c r="Y31" s="186"/>
      <x:c r="Z31" s="186"/>
    </x:row>
    <x:row r="32">
      <x:c r="A32" s="186"/>
      <x:c r="B32" s="186"/>
      <x:c r="C32" s="186"/>
      <x:c r="D32" s="186"/>
      <x:c r="E32" s="186"/>
      <x:c r="F32" s="186"/>
      <x:c r="G32" s="186"/>
      <x:c r="H32" s="186"/>
      <x:c r="I32" s="186"/>
      <x:c r="J32" s="186"/>
      <x:c r="K32" s="186"/>
      <x:c r="L32" s="186"/>
      <x:c r="M32" s="186"/>
      <x:c r="N32" s="186"/>
      <x:c r="O32" s="186"/>
      <x:c r="P32" s="186"/>
      <x:c r="Q32" s="186"/>
      <x:c r="R32" s="186"/>
      <x:c r="S32" s="186"/>
      <x:c r="T32" s="186"/>
      <x:c r="U32" s="186"/>
      <x:c r="V32" s="186"/>
      <x:c r="W32" s="186"/>
      <x:c r="X32" s="186"/>
      <x:c r="Y32" s="186"/>
      <x:c r="Z32" s="186"/>
    </x:row>
    <x:row r="33">
      <x:c r="A33" s="186"/>
      <x:c r="B33" s="186"/>
      <x:c r="C33" s="186"/>
      <x:c r="D33" s="186"/>
      <x:c r="E33" s="186"/>
      <x:c r="F33" s="186"/>
      <x:c r="G33" s="186"/>
      <x:c r="H33" s="186"/>
      <x:c r="I33" s="186"/>
      <x:c r="J33" s="186"/>
      <x:c r="K33" s="186"/>
      <x:c r="L33" s="186"/>
      <x:c r="M33" s="186"/>
      <x:c r="N33" s="186"/>
      <x:c r="O33" s="186"/>
      <x:c r="P33" s="186"/>
      <x:c r="Q33" s="186"/>
      <x:c r="R33" s="186"/>
      <x:c r="S33" s="186"/>
      <x:c r="T33" s="186"/>
      <x:c r="U33" s="186"/>
      <x:c r="V33" s="186"/>
      <x:c r="W33" s="186"/>
      <x:c r="X33" s="186"/>
      <x:c r="Y33" s="186"/>
      <x:c r="Z33" s="186"/>
    </x:row>
    <x:row r="34">
      <x:c r="A34" s="186"/>
      <x:c r="B34" s="186"/>
      <x:c r="C34" s="186"/>
      <x:c r="D34" s="186"/>
      <x:c r="E34" s="186"/>
      <x:c r="F34" s="186"/>
      <x:c r="G34" s="186"/>
      <x:c r="H34" s="186"/>
      <x:c r="I34" s="186"/>
      <x:c r="J34" s="186"/>
      <x:c r="K34" s="186"/>
      <x:c r="L34" s="186"/>
      <x:c r="M34" s="186"/>
      <x:c r="N34" s="186"/>
      <x:c r="O34" s="186"/>
      <x:c r="P34" s="186"/>
      <x:c r="Q34" s="186"/>
      <x:c r="R34" s="186"/>
      <x:c r="S34" s="186"/>
      <x:c r="T34" s="186"/>
      <x:c r="U34" s="186"/>
      <x:c r="V34" s="186"/>
      <x:c r="W34" s="186"/>
      <x:c r="X34" s="186"/>
      <x:c r="Y34" s="186"/>
      <x:c r="Z34" s="186"/>
    </x:row>
    <x:row r="35">
      <x:c r="A35" s="186"/>
      <x:c r="B35" s="186"/>
      <x:c r="C35" s="186"/>
      <x:c r="D35" s="186"/>
      <x:c r="E35" s="186"/>
      <x:c r="F35" s="186"/>
      <x:c r="G35" s="186"/>
      <x:c r="H35" s="186"/>
      <x:c r="I35" s="186"/>
      <x:c r="J35" s="186"/>
      <x:c r="K35" s="186"/>
      <x:c r="L35" s="186"/>
      <x:c r="M35" s="186"/>
      <x:c r="N35" s="186"/>
      <x:c r="O35" s="186"/>
      <x:c r="P35" s="186"/>
      <x:c r="Q35" s="186"/>
      <x:c r="R35" s="186"/>
      <x:c r="S35" s="186"/>
      <x:c r="T35" s="186"/>
      <x:c r="U35" s="186"/>
      <x:c r="V35" s="186"/>
      <x:c r="W35" s="186"/>
      <x:c r="X35" s="186"/>
      <x:c r="Y35" s="186"/>
      <x:c r="Z35" s="186"/>
    </x:row>
    <x:row r="36">
      <x:c r="A36" s="186"/>
      <x:c r="B36" s="186"/>
      <x:c r="C36" s="186"/>
      <x:c r="D36" s="186"/>
      <x:c r="E36" s="186"/>
      <x:c r="F36" s="186"/>
      <x:c r="G36" s="186"/>
      <x:c r="H36" s="186"/>
      <x:c r="I36" s="186"/>
      <x:c r="J36" s="186"/>
      <x:c r="K36" s="186"/>
      <x:c r="L36" s="186"/>
      <x:c r="M36" s="186"/>
      <x:c r="N36" s="186"/>
      <x:c r="O36" s="186"/>
      <x:c r="P36" s="186"/>
      <x:c r="Q36" s="186"/>
      <x:c r="R36" s="186"/>
      <x:c r="S36" s="186"/>
      <x:c r="T36" s="186"/>
      <x:c r="U36" s="186"/>
      <x:c r="V36" s="186"/>
      <x:c r="W36" s="186"/>
      <x:c r="X36" s="186"/>
      <x:c r="Y36" s="186"/>
      <x:c r="Z36" s="186"/>
    </x:row>
    <x:row r="37">
      <x:c r="A37" s="186"/>
      <x:c r="B37" s="186"/>
      <x:c r="C37" s="186"/>
      <x:c r="D37" s="186"/>
      <x:c r="E37" s="186"/>
      <x:c r="F37" s="186"/>
      <x:c r="G37" s="186"/>
      <x:c r="H37" s="186"/>
      <x:c r="I37" s="186"/>
      <x:c r="J37" s="186"/>
      <x:c r="K37" s="186"/>
      <x:c r="L37" s="186"/>
      <x:c r="M37" s="186"/>
      <x:c r="N37" s="186"/>
      <x:c r="O37" s="186"/>
      <x:c r="P37" s="186"/>
      <x:c r="Q37" s="186"/>
      <x:c r="R37" s="186"/>
      <x:c r="S37" s="186"/>
      <x:c r="T37" s="186"/>
      <x:c r="U37" s="186"/>
      <x:c r="V37" s="186"/>
      <x:c r="W37" s="186"/>
      <x:c r="X37" s="186"/>
      <x:c r="Y37" s="186"/>
      <x:c r="Z37" s="186"/>
    </x:row>
    <x:row r="38">
      <x:c r="A38" s="186"/>
      <x:c r="B38" s="186"/>
      <x:c r="C38" s="186"/>
      <x:c r="D38" s="186"/>
      <x:c r="E38" s="186"/>
      <x:c r="F38" s="186"/>
      <x:c r="G38" s="186"/>
      <x:c r="H38" s="186"/>
      <x:c r="I38" s="186"/>
      <x:c r="J38" s="186"/>
      <x:c r="K38" s="186"/>
      <x:c r="L38" s="186"/>
      <x:c r="M38" s="186"/>
      <x:c r="N38" s="186"/>
      <x:c r="O38" s="186"/>
      <x:c r="P38" s="186"/>
      <x:c r="Q38" s="186"/>
      <x:c r="R38" s="186"/>
      <x:c r="S38" s="186"/>
      <x:c r="T38" s="186"/>
      <x:c r="U38" s="186"/>
      <x:c r="V38" s="186"/>
      <x:c r="W38" s="186"/>
      <x:c r="X38" s="186"/>
      <x:c r="Y38" s="186"/>
      <x:c r="Z38" s="186"/>
    </x:row>
    <x:row r="39">
      <x:c r="A39" s="186"/>
      <x:c r="B39" s="186"/>
      <x:c r="C39" s="186"/>
      <x:c r="D39" s="186"/>
      <x:c r="E39" s="186"/>
      <x:c r="F39" s="186"/>
      <x:c r="G39" s="186"/>
      <x:c r="H39" s="186"/>
      <x:c r="I39" s="186"/>
      <x:c r="J39" s="186"/>
      <x:c r="K39" s="186"/>
      <x:c r="L39" s="186"/>
      <x:c r="M39" s="186"/>
      <x:c r="N39" s="186"/>
      <x:c r="O39" s="186"/>
      <x:c r="P39" s="186"/>
      <x:c r="Q39" s="186"/>
      <x:c r="R39" s="186"/>
      <x:c r="S39" s="186"/>
      <x:c r="T39" s="186"/>
      <x:c r="U39" s="186"/>
      <x:c r="V39" s="186"/>
      <x:c r="W39" s="186"/>
      <x:c r="X39" s="186"/>
      <x:c r="Y39" s="186"/>
      <x:c r="Z39" s="186"/>
    </x:row>
    <x:row r="40">
      <x:c r="A40" s="186"/>
      <x:c r="B40" s="186"/>
      <x:c r="C40" s="186"/>
      <x:c r="D40" s="186"/>
      <x:c r="E40" s="186"/>
      <x:c r="F40" s="186"/>
      <x:c r="G40" s="186"/>
      <x:c r="H40" s="186"/>
      <x:c r="I40" s="186"/>
      <x:c r="J40" s="186"/>
      <x:c r="K40" s="186"/>
      <x:c r="L40" s="186"/>
      <x:c r="M40" s="186"/>
      <x:c r="N40" s="186"/>
      <x:c r="O40" s="186"/>
      <x:c r="P40" s="186"/>
      <x:c r="Q40" s="186"/>
      <x:c r="R40" s="186"/>
      <x:c r="S40" s="186"/>
      <x:c r="T40" s="186"/>
      <x:c r="U40" s="186"/>
      <x:c r="V40" s="186"/>
      <x:c r="W40" s="186"/>
      <x:c r="X40" s="186"/>
      <x:c r="Y40" s="186"/>
      <x:c r="Z40" s="186"/>
    </x:row>
    <x:row r="41">
      <x:c r="A41" s="186"/>
      <x:c r="B41" s="186"/>
      <x:c r="C41" s="186"/>
      <x:c r="D41" s="186"/>
      <x:c r="E41" s="186"/>
      <x:c r="F41" s="186"/>
      <x:c r="G41" s="186"/>
      <x:c r="H41" s="186"/>
      <x:c r="I41" s="186"/>
      <x:c r="J41" s="186"/>
      <x:c r="K41" s="186"/>
      <x:c r="L41" s="186"/>
      <x:c r="M41" s="186"/>
      <x:c r="N41" s="186"/>
      <x:c r="O41" s="186"/>
      <x:c r="P41" s="186"/>
      <x:c r="Q41" s="186"/>
      <x:c r="R41" s="186"/>
      <x:c r="S41" s="186"/>
      <x:c r="T41" s="186"/>
      <x:c r="U41" s="186"/>
      <x:c r="V41" s="186"/>
      <x:c r="W41" s="186"/>
      <x:c r="X41" s="186"/>
      <x:c r="Y41" s="186"/>
      <x:c r="Z41" s="186"/>
    </x:row>
    <x:row r="42">
      <x:c r="A42" s="186"/>
      <x:c r="B42" s="186"/>
      <x:c r="C42" s="186"/>
      <x:c r="D42" s="186"/>
      <x:c r="E42" s="186"/>
      <x:c r="F42" s="186"/>
      <x:c r="G42" s="186"/>
      <x:c r="H42" s="186"/>
      <x:c r="I42" s="186"/>
      <x:c r="J42" s="186"/>
      <x:c r="K42" s="186"/>
      <x:c r="L42" s="186"/>
      <x:c r="M42" s="186"/>
      <x:c r="N42" s="186"/>
      <x:c r="O42" s="186"/>
      <x:c r="P42" s="186"/>
      <x:c r="Q42" s="186"/>
      <x:c r="R42" s="186"/>
      <x:c r="S42" s="186"/>
      <x:c r="T42" s="186"/>
      <x:c r="U42" s="186"/>
      <x:c r="V42" s="186"/>
      <x:c r="W42" s="186"/>
      <x:c r="X42" s="186"/>
      <x:c r="Y42" s="186"/>
      <x:c r="Z42" s="186"/>
    </x:row>
    <x:row r="43">
      <x:c r="A43" s="186"/>
      <x:c r="B43" s="186"/>
      <x:c r="C43" s="186"/>
      <x:c r="D43" s="186"/>
      <x:c r="E43" s="186"/>
      <x:c r="F43" s="186"/>
      <x:c r="G43" s="186"/>
      <x:c r="H43" s="186"/>
      <x:c r="I43" s="186"/>
      <x:c r="J43" s="186"/>
      <x:c r="K43" s="186"/>
      <x:c r="L43" s="186"/>
      <x:c r="M43" s="186"/>
      <x:c r="N43" s="186"/>
      <x:c r="O43" s="186"/>
      <x:c r="P43" s="186"/>
      <x:c r="Q43" s="186"/>
      <x:c r="R43" s="186"/>
      <x:c r="S43" s="186"/>
      <x:c r="T43" s="186"/>
      <x:c r="U43" s="186"/>
      <x:c r="V43" s="186"/>
      <x:c r="W43" s="186"/>
      <x:c r="X43" s="186"/>
      <x:c r="Y43" s="186"/>
      <x:c r="Z43" s="186"/>
    </x:row>
    <x:row r="44">
      <x:c r="A44" s="186"/>
      <x:c r="B44" s="186"/>
      <x:c r="C44" s="186"/>
      <x:c r="D44" s="186"/>
      <x:c r="E44" s="186"/>
      <x:c r="F44" s="186"/>
      <x:c r="G44" s="186"/>
      <x:c r="H44" s="186"/>
      <x:c r="I44" s="186"/>
      <x:c r="J44" s="186"/>
      <x:c r="K44" s="186"/>
      <x:c r="L44" s="186"/>
      <x:c r="M44" s="186"/>
      <x:c r="N44" s="186"/>
      <x:c r="O44" s="186"/>
      <x:c r="P44" s="186"/>
      <x:c r="Q44" s="186"/>
      <x:c r="R44" s="186"/>
      <x:c r="S44" s="186"/>
      <x:c r="T44" s="186"/>
      <x:c r="U44" s="186"/>
      <x:c r="V44" s="186"/>
      <x:c r="W44" s="186"/>
      <x:c r="X44" s="186"/>
      <x:c r="Y44" s="186"/>
      <x:c r="Z44" s="186"/>
    </x:row>
    <x:row r="45">
      <x:c r="A45" s="186"/>
      <x:c r="B45" s="186"/>
      <x:c r="C45" s="186"/>
      <x:c r="D45" s="186"/>
      <x:c r="E45" s="186"/>
      <x:c r="F45" s="186"/>
      <x:c r="G45" s="186"/>
      <x:c r="H45" s="186"/>
      <x:c r="I45" s="186"/>
      <x:c r="J45" s="186"/>
      <x:c r="K45" s="186"/>
      <x:c r="L45" s="186"/>
      <x:c r="M45" s="186"/>
      <x:c r="N45" s="186"/>
      <x:c r="O45" s="186"/>
      <x:c r="P45" s="186"/>
      <x:c r="Q45" s="186"/>
      <x:c r="R45" s="186"/>
      <x:c r="S45" s="186"/>
      <x:c r="T45" s="186"/>
      <x:c r="U45" s="186"/>
      <x:c r="V45" s="186"/>
      <x:c r="W45" s="186"/>
      <x:c r="X45" s="186"/>
      <x:c r="Y45" s="186"/>
      <x:c r="Z45" s="186"/>
    </x:row>
    <x:row r="46">
      <x:c r="A46" s="186"/>
      <x:c r="B46" s="186"/>
      <x:c r="C46" s="186"/>
      <x:c r="D46" s="186"/>
      <x:c r="E46" s="186"/>
      <x:c r="F46" s="186"/>
      <x:c r="G46" s="186"/>
      <x:c r="H46" s="186"/>
      <x:c r="I46" s="186"/>
      <x:c r="J46" s="186"/>
      <x:c r="K46" s="186"/>
      <x:c r="L46" s="186"/>
      <x:c r="M46" s="186"/>
      <x:c r="N46" s="186"/>
      <x:c r="O46" s="186"/>
      <x:c r="P46" s="186"/>
      <x:c r="Q46" s="186"/>
      <x:c r="R46" s="186"/>
      <x:c r="S46" s="186"/>
      <x:c r="T46" s="186"/>
      <x:c r="U46" s="186"/>
      <x:c r="V46" s="186"/>
      <x:c r="W46" s="186"/>
      <x:c r="X46" s="186"/>
      <x:c r="Y46" s="186"/>
      <x:c r="Z46" s="186"/>
    </x:row>
    <x:row r="47">
      <x:c r="A47" s="186"/>
      <x:c r="B47" s="186"/>
      <x:c r="C47" s="186"/>
      <x:c r="D47" s="186"/>
      <x:c r="E47" s="186"/>
      <x:c r="F47" s="186"/>
      <x:c r="G47" s="186"/>
      <x:c r="H47" s="186"/>
      <x:c r="I47" s="186"/>
      <x:c r="J47" s="186"/>
      <x:c r="K47" s="186"/>
      <x:c r="L47" s="186"/>
      <x:c r="M47" s="186"/>
      <x:c r="N47" s="186"/>
      <x:c r="O47" s="186"/>
      <x:c r="P47" s="186"/>
      <x:c r="Q47" s="186"/>
      <x:c r="R47" s="186"/>
      <x:c r="S47" s="186"/>
      <x:c r="T47" s="186"/>
      <x:c r="U47" s="186"/>
      <x:c r="V47" s="186"/>
      <x:c r="W47" s="186"/>
      <x:c r="X47" s="186"/>
      <x:c r="Y47" s="186"/>
      <x:c r="Z47" s="186"/>
    </x:row>
    <x:row r="48">
      <x:c r="A48" s="186"/>
      <x:c r="B48" s="186"/>
      <x:c r="C48" s="186"/>
      <x:c r="D48" s="186"/>
      <x:c r="E48" s="186"/>
      <x:c r="F48" s="186"/>
      <x:c r="G48" s="186"/>
      <x:c r="H48" s="186"/>
      <x:c r="I48" s="186"/>
      <x:c r="J48" s="186"/>
      <x:c r="K48" s="186"/>
      <x:c r="L48" s="186"/>
      <x:c r="M48" s="186"/>
      <x:c r="N48" s="186"/>
      <x:c r="O48" s="186"/>
      <x:c r="P48" s="186"/>
      <x:c r="Q48" s="186"/>
      <x:c r="R48" s="186"/>
      <x:c r="S48" s="186"/>
      <x:c r="T48" s="186"/>
      <x:c r="U48" s="186"/>
      <x:c r="V48" s="186"/>
      <x:c r="W48" s="186"/>
      <x:c r="X48" s="186"/>
      <x:c r="Y48" s="186"/>
      <x:c r="Z48" s="186"/>
    </x:row>
    <x:row r="49">
      <x:c r="A49" s="186"/>
      <x:c r="B49" s="186"/>
      <x:c r="C49" s="186"/>
      <x:c r="D49" s="186"/>
      <x:c r="E49" s="186"/>
      <x:c r="F49" s="186"/>
      <x:c r="G49" s="186"/>
      <x:c r="H49" s="186"/>
      <x:c r="I49" s="186"/>
      <x:c r="J49" s="186"/>
      <x:c r="K49" s="186"/>
      <x:c r="L49" s="186"/>
      <x:c r="M49" s="186"/>
      <x:c r="N49" s="186"/>
      <x:c r="O49" s="186"/>
      <x:c r="P49" s="186"/>
      <x:c r="Q49" s="186"/>
      <x:c r="R49" s="186"/>
      <x:c r="S49" s="186"/>
      <x:c r="T49" s="186"/>
      <x:c r="U49" s="186"/>
      <x:c r="V49" s="186"/>
      <x:c r="W49" s="186"/>
      <x:c r="X49" s="186"/>
      <x:c r="Y49" s="186"/>
      <x:c r="Z49" s="186"/>
    </x:row>
    <x:row r="50">
      <x:c r="A50" s="186"/>
      <x:c r="B50" s="186"/>
      <x:c r="C50" s="186"/>
      <x:c r="D50" s="186"/>
      <x:c r="E50" s="186"/>
      <x:c r="F50" s="186"/>
      <x:c r="G50" s="186"/>
      <x:c r="H50" s="186"/>
      <x:c r="I50" s="186"/>
      <x:c r="J50" s="186"/>
      <x:c r="K50" s="186"/>
      <x:c r="L50" s="186"/>
      <x:c r="M50" s="186"/>
      <x:c r="N50" s="186"/>
      <x:c r="O50" s="186"/>
      <x:c r="P50" s="186"/>
      <x:c r="Q50" s="186"/>
      <x:c r="R50" s="186"/>
      <x:c r="S50" s="186"/>
      <x:c r="T50" s="186"/>
      <x:c r="U50" s="186"/>
      <x:c r="V50" s="186"/>
      <x:c r="W50" s="186"/>
      <x:c r="X50" s="186"/>
      <x:c r="Y50" s="186"/>
      <x:c r="Z50" s="186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1" hidden="0" customWidth="1"/>
    <x:col min="4" max="4" width="14" hidden="0" customWidth="1"/>
    <x:col min="5" max="5" width="13" hidden="0" customWidth="1"/>
    <x:col min="6" max="6" width="13" hidden="0" customWidth="1"/>
    <x:col min="7" max="7" width="11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0" hidden="0" customWidth="1"/>
    <x:col min="13" max="13" width="15" hidden="0" customWidth="1"/>
    <x:col min="14" max="14" width="10" hidden="0" customWidth="1"/>
    <x:col min="15" max="15" width="14" hidden="0" customWidth="1"/>
    <x:col min="16" max="16" width="12" hidden="0" customWidth="1"/>
    <x:col min="17" max="17" width="14" hidden="0" customWidth="1"/>
    <x:col min="18" max="18" width="14" hidden="0" customWidth="1"/>
    <x:col min="19" max="19" width="10" hidden="0" customWidth="1"/>
  </x:cols>
  <x:sheetData>
    <x:row r="1">
      <x:c r="A1" s="5" t="str">
        <x:v>Technology Coverage Portfolio — Credit, Opportunity &amp; Relationship Prioritization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186"/>
      <x:c r="U1" s="186"/>
      <x:c r="V1" s="186"/>
      <x:c r="W1" s="186"/>
      <x:c r="X1" s="186"/>
      <x:c r="Y1" s="186"/>
      <x:c r="Z1" s="186"/>
    </x:row>
    <x:row r="2">
      <x:c r="A2" s="186"/>
      <x:c r="B2" s="186"/>
      <x:c r="C2" s="186"/>
      <x:c r="D2" s="186"/>
      <x:c r="E2" s="186"/>
      <x:c r="F2" s="186"/>
      <x:c r="G2" s="186"/>
      <x:c r="H2" s="186"/>
      <x:c r="I2" s="186"/>
      <x:c r="J2" s="186"/>
      <x:c r="K2" s="186"/>
      <x:c r="L2" s="186"/>
      <x:c r="M2" s="186"/>
      <x:c r="N2" s="186"/>
      <x:c r="O2" s="186"/>
      <x:c r="P2" s="186"/>
      <x:c r="Q2" s="186"/>
      <x:c r="R2" s="186"/>
      <x:c r="S2" s="186"/>
      <x:c r="T2" s="186"/>
      <x:c r="U2" s="186"/>
      <x:c r="V2" s="186"/>
      <x:c r="W2" s="186"/>
      <x:c r="X2" s="186"/>
      <x:c r="Y2" s="186"/>
      <x:c r="Z2" s="186"/>
    </x:row>
    <x:row r="3">
      <x:c r="A3" s="11" t="str">
        <x:v>Company</x:v>
      </x:c>
      <x:c r="B3" s="11" t="str">
        <x:v>Vertical</x:v>
      </x:c>
      <x:c r="C3" s="11" t="str">
        <x:v>Status</x:v>
      </x:c>
      <x:c r="D3" s="11" t="str">
        <x:v>Revenue ($MM)</x:v>
      </x:c>
      <x:c r="E3" s="11" t="str">
        <x:v>Revenue Growth</x:v>
      </x:c>
      <x:c r="F3" s="11" t="str">
        <x:v>EBITDA Margin</x:v>
      </x:c>
      <x:c r="G3" s="11" t="str">
        <x:v>FCF Margin</x:v>
      </x:c>
      <x:c r="H3" s="11" t="str">
        <x:v>Cash ($MM)</x:v>
      </x:c>
      <x:c r="I3" s="11" t="str">
        <x:v>Debt ($MM)</x:v>
      </x:c>
      <x:c r="J3" s="11" t="str">
        <x:v>Net Leverage</x:v>
      </x:c>
      <x:c r="K3" s="11" t="str">
        <x:v>Current Ratio</x:v>
      </x:c>
      <x:c r="L3" s="11" t="str">
        <x:v>NRR</x:v>
      </x:c>
      <x:c r="M3" s="11" t="str">
        <x:v>International Revenue</x:v>
      </x:c>
      <x:c r="N3" s="11" t="str">
        <x:v>Risk Flags</x:v>
      </x:c>
      <x:c r="O3" s="11" t="str">
        <x:v>Est. Wallet ($MM)</x:v>
      </x:c>
      <x:c r="P3" s="11" t="str">
        <x:v>Credit Score</x:v>
      </x:c>
      <x:c r="Q3" s="11" t="str">
        <x:v>Opportunity Score</x:v>
      </x:c>
      <x:c r="R3" s="11" t="str">
        <x:v>Coverage Priority</x:v>
      </x:c>
      <x:c r="S3" s="11" t="str">
        <x:v>Tier</x:v>
      </x:c>
      <x:c r="T3" s="186"/>
      <x:c r="U3" s="186"/>
      <x:c r="V3" s="186"/>
      <x:c r="W3" s="186"/>
      <x:c r="X3" s="186"/>
      <x:c r="Y3" s="186"/>
      <x:c r="Z3" s="186"/>
    </x:row>
    <x:row r="4">
      <x:c r="A4" s="196" t="str">
        <x:v>AetherGrid Systems</x:v>
      </x:c>
      <x:c r="B4" s="196" t="str">
        <x:v>Cloud / AI Observability</x:v>
      </x:c>
      <x:c r="C4" s="196" t="str">
        <x:v>Client</x:v>
      </x:c>
      <x:c r="D4" s="197" t="n">
        <x:v>255</x:v>
      </x:c>
      <x:c r="E4" s="198" t="n">
        <x:v>0.17</x:v>
      </x:c>
      <x:c r="F4" s="198" t="n">
        <x:v>0.129</x:v>
      </x:c>
      <x:c r="G4" s="198" t="n">
        <x:v>0.075</x:v>
      </x:c>
      <x:c r="H4" s="197" t="n">
        <x:v>48</x:v>
      </x:c>
      <x:c r="I4" s="197" t="n">
        <x:v>80</x:v>
      </x:c>
      <x:c r="J4" s="199" t="n">
        <x:f>IF(D4*F4&gt;0,MAX(I4-H4,0)/(D4*F4),9.9)</x:f>
        <x:v>0.9727922176622587</x:v>
      </x:c>
      <x:c r="K4" s="199" t="n">
        <x:v>1.8</x:v>
      </x:c>
      <x:c r="L4" s="200" t="n">
        <x:v>1.12</x:v>
      </x:c>
      <x:c r="M4" s="200" t="n">
        <x:v>0.18</x:v>
      </x:c>
      <x:c r="N4" s="201" t="n">
        <x:v>1</x:v>
      </x:c>
      <x:c r="O4" s="202" t="n">
        <x:v>1.2</x:v>
      </x:c>
      <x:c r="P4" s="203" t="n">
        <x:f>0.12*MAX(0,MIN(100,E4*300))+0.18*MAX(0,MIN(100,50+F4*250))+0.18*MAX(0,MIN(100,50+G4*250))+0.22*MAX(0,MIN(100,100-J4*22))+0.14*MAX(0,MIN(100,K4*40))+0.08*MAX(0,MIN(100,(L4*100-90)*2.5))+0.08*MAX(0,100-N4*22)</x:f>
        <x:v>71.31168566651466</x:v>
      </x:c>
      <x:c r="Q4" s="203" t="n">
        <x:f>0.7*MIN(100,O4/3.2*100)+0.3*MIN(100,M4*200)</x:f>
        <x:v>37.04999999999999</x:v>
      </x:c>
      <x:c r="R4" s="203" t="n">
        <x:f>0.65*P4+0.35*Q4</x:f>
        <x:v>59.32009568323453</x:v>
      </x:c>
      <x:c r="S4" s="201" t="str">
        <x:f>IF(R4&gt;=75,"Tier 1",IF(R4&gt;=60,"Tier 2","Tier 3"))</x:f>
        <x:v>Tier 3</x:v>
      </x:c>
      <x:c r="T4" s="186"/>
      <x:c r="U4" s="186"/>
      <x:c r="V4" s="186"/>
      <x:c r="W4" s="186"/>
      <x:c r="X4" s="186"/>
      <x:c r="Y4" s="186"/>
      <x:c r="Z4" s="186"/>
    </x:row>
    <x:row r="5">
      <x:c r="A5" s="196" t="str">
        <x:v>CipherNorth Security</x:v>
      </x:c>
      <x:c r="B5" s="196" t="str">
        <x:v>Cybersecurity</x:v>
      </x:c>
      <x:c r="C5" s="196" t="str">
        <x:v>Prospect</x:v>
      </x:c>
      <x:c r="D5" s="197" t="n">
        <x:v>410</x:v>
      </x:c>
      <x:c r="E5" s="198" t="n">
        <x:v>0.21</x:v>
      </x:c>
      <x:c r="F5" s="198" t="n">
        <x:v>0.18</x:v>
      </x:c>
      <x:c r="G5" s="198" t="n">
        <x:v>0.14</x:v>
      </x:c>
      <x:c r="H5" s="197" t="n">
        <x:v>92</x:v>
      </x:c>
      <x:c r="I5" s="197" t="n">
        <x:v>105</x:v>
      </x:c>
      <x:c r="J5" s="199" t="n">
        <x:f>IF(D5*F5&gt;0,MAX(I5-H5,0)/(D5*F5),9.9)</x:f>
        <x:v>0.1761517615176152</x:v>
      </x:c>
      <x:c r="K5" s="199" t="n">
        <x:v>2.1</x:v>
      </x:c>
      <x:c r="L5" s="200" t="n">
        <x:v>1.18</x:v>
      </x:c>
      <x:c r="M5" s="200" t="n">
        <x:v>0.28</x:v>
      </x:c>
      <x:c r="N5" s="201" t="n">
        <x:v>0</x:v>
      </x:c>
      <x:c r="O5" s="202" t="n">
        <x:v>1.65</x:v>
      </x:c>
      <x:c r="P5" s="203" t="n">
        <x:f>0.12*MAX(0,MIN(100,E5*300))+0.18*MAX(0,MIN(100,50+F5*250))+0.18*MAX(0,MIN(100,50+G5*250))+0.22*MAX(0,MIN(100,100-J5*22))+0.14*MAX(0,MIN(100,K5*40))+0.08*MAX(0,MIN(100,(L5*100-90)*2.5))+0.08*MAX(0,100-N5*22)</x:f>
        <x:v>86.46742547425474</x:v>
      </x:c>
      <x:c r="Q5" s="203" t="n">
        <x:f>0.7*MIN(100,O5/3.2*100)+0.3*MIN(100,M5*200)</x:f>
        <x:v>52.89374999999998</x:v>
      </x:c>
      <x:c r="R5" s="203" t="n">
        <x:f>0.65*P5+0.35*Q5</x:f>
        <x:v>74.71663905826557</x:v>
      </x:c>
      <x:c r="S5" s="201" t="str">
        <x:f>IF(R5&gt;=75,"Tier 1",IF(R5&gt;=60,"Tier 2","Tier 3"))</x:f>
        <x:v>Tier 2</x:v>
      </x:c>
      <x:c r="T5" s="186"/>
      <x:c r="U5" s="186"/>
      <x:c r="V5" s="186"/>
      <x:c r="W5" s="186"/>
      <x:c r="X5" s="186"/>
      <x:c r="Y5" s="186"/>
      <x:c r="Z5" s="186"/>
    </x:row>
    <x:row r="6">
      <x:c r="A6" s="196" t="str">
        <x:v>LedgerSpring</x:v>
      </x:c>
      <x:c r="B6" s="196" t="str">
        <x:v>Fintech Infrastructure</x:v>
      </x:c>
      <x:c r="C6" s="196" t="str">
        <x:v>Prospect</x:v>
      </x:c>
      <x:c r="D6" s="197" t="n">
        <x:v>185</x:v>
      </x:c>
      <x:c r="E6" s="198" t="n">
        <x:v>0.29</x:v>
      </x:c>
      <x:c r="F6" s="198" t="n">
        <x:v>0.07</x:v>
      </x:c>
      <x:c r="G6" s="198" t="n">
        <x:v>-0.02</x:v>
      </x:c>
      <x:c r="H6" s="197" t="n">
        <x:v>36</x:v>
      </x:c>
      <x:c r="I6" s="197" t="n">
        <x:v>70</x:v>
      </x:c>
      <x:c r="J6" s="199" t="n">
        <x:f>IF(D6*F6&gt;0,MAX(I6-H6,0)/(D6*F6),9.9)</x:f>
        <x:v>2.625482625482625</x:v>
      </x:c>
      <x:c r="K6" s="199" t="n">
        <x:v>1.4</x:v>
      </x:c>
      <x:c r="L6" s="200" t="n">
        <x:v>1.21</x:v>
      </x:c>
      <x:c r="M6" s="200" t="n">
        <x:v>0.12</x:v>
      </x:c>
      <x:c r="N6" s="201" t="n">
        <x:v>2</x:v>
      </x:c>
      <x:c r="O6" s="202" t="n">
        <x:v>1.05</x:v>
      </x:c>
      <x:c r="P6" s="203" t="n">
        <x:f>0.12*MAX(0,MIN(100,E6*300))+0.18*MAX(0,MIN(100,50+F6*250))+0.18*MAX(0,MIN(100,50+G6*250))+0.22*MAX(0,MIN(100,100-J6*22))+0.14*MAX(0,MIN(100,K6*40))+0.08*MAX(0,MIN(100,(L6*100-90)*2.5))+0.08*MAX(0,100-N6*22)</x:f>
        <x:v>58.502664092664105</x:v>
      </x:c>
      <x:c r="Q6" s="203" t="n">
        <x:f>0.7*MIN(100,O6/3.2*100)+0.3*MIN(100,M6*200)</x:f>
        <x:v>30.16875</x:v>
      </x:c>
      <x:c r="R6" s="203" t="n">
        <x:f>0.65*P6+0.35*Q6</x:f>
        <x:v>48.58579416023167</x:v>
      </x:c>
      <x:c r="S6" s="201" t="str">
        <x:f>IF(R6&gt;=75,"Tier 1",IF(R6&gt;=60,"Tier 2","Tier 3"))</x:f>
        <x:v>Tier 3</x:v>
      </x:c>
      <x:c r="T6" s="186"/>
      <x:c r="U6" s="186"/>
      <x:c r="V6" s="186"/>
      <x:c r="W6" s="186"/>
      <x:c r="X6" s="186"/>
      <x:c r="Y6" s="186"/>
      <x:c r="Z6" s="186"/>
    </x:row>
    <x:row r="7">
      <x:c r="A7" s="196" t="str">
        <x:v>VectorMesh AI</x:v>
      </x:c>
      <x:c r="B7" s="196" t="str">
        <x:v>AI Data Infrastructure</x:v>
      </x:c>
      <x:c r="C7" s="196" t="str">
        <x:v>Prospect</x:v>
      </x:c>
      <x:c r="D7" s="197" t="n">
        <x:v>132</x:v>
      </x:c>
      <x:c r="E7" s="198" t="n">
        <x:v>0.48</x:v>
      </x:c>
      <x:c r="F7" s="198" t="n">
        <x:v>-0.06</x:v>
      </x:c>
      <x:c r="G7" s="198" t="n">
        <x:v>-0.18</x:v>
      </x:c>
      <x:c r="H7" s="197" t="n">
        <x:v>74</x:v>
      </x:c>
      <x:c r="I7" s="197" t="n">
        <x:v>20</x:v>
      </x:c>
      <x:c r="J7" s="199" t="n">
        <x:f>IF(D7*F7&gt;0,MAX(I7-H7,0)/(D7*F7),9.9)</x:f>
        <x:v>9.9</x:v>
      </x:c>
      <x:c r="K7" s="199" t="n">
        <x:v>3.2</x:v>
      </x:c>
      <x:c r="L7" s="200" t="n">
        <x:v>1.26</x:v>
      </x:c>
      <x:c r="M7" s="200" t="n">
        <x:v>0.09</x:v>
      </x:c>
      <x:c r="N7" s="201" t="n">
        <x:v>3</x:v>
      </x:c>
      <x:c r="O7" s="202" t="n">
        <x:v>0.82</x:v>
      </x:c>
      <x:c r="P7" s="203" t="n">
        <x:f>0.12*MAX(0,MIN(100,E7*300))+0.18*MAX(0,MIN(100,50+F7*250))+0.18*MAX(0,MIN(100,50+G7*250))+0.22*MAX(0,MIN(100,100-J7*22))+0.14*MAX(0,MIN(100,K7*40))+0.08*MAX(0,MIN(100,(L7*100-90)*2.5))+0.08*MAX(0,100-N7*22)</x:f>
        <x:v>43.120000000000005</x:v>
      </x:c>
      <x:c r="Q7" s="203" t="n">
        <x:f>0.7*MIN(100,O7/3.2*100)+0.3*MIN(100,M7*200)</x:f>
        <x:v>23.337499999999995</x:v>
      </x:c>
      <x:c r="R7" s="203" t="n">
        <x:f>0.65*P7+0.35*Q7</x:f>
        <x:v>36.196125</x:v>
      </x:c>
      <x:c r="S7" s="201" t="str">
        <x:f>IF(R7&gt;=75,"Tier 1",IF(R7&gt;=60,"Tier 2","Tier 3"))</x:f>
        <x:v>Tier 3</x:v>
      </x:c>
      <x:c r="T7" s="186"/>
      <x:c r="U7" s="186"/>
      <x:c r="V7" s="186"/>
      <x:c r="W7" s="186"/>
      <x:c r="X7" s="186"/>
      <x:c r="Y7" s="186"/>
      <x:c r="Z7" s="186"/>
    </x:row>
    <x:row r="8">
      <x:c r="A8" s="196" t="str">
        <x:v>CoreTransit Software</x:v>
      </x:c>
      <x:c r="B8" s="196" t="str">
        <x:v>Vertical SaaS</x:v>
      </x:c>
      <x:c r="C8" s="196" t="str">
        <x:v>Client</x:v>
      </x:c>
      <x:c r="D8" s="197" t="n">
        <x:v>305</x:v>
      </x:c>
      <x:c r="E8" s="198" t="n">
        <x:v>0.11</x:v>
      </x:c>
      <x:c r="F8" s="198" t="n">
        <x:v>0.22</x:v>
      </x:c>
      <x:c r="G8" s="198" t="n">
        <x:v>0.17</x:v>
      </x:c>
      <x:c r="H8" s="197" t="n">
        <x:v>61</x:v>
      </x:c>
      <x:c r="I8" s="197" t="n">
        <x:v>45</x:v>
      </x:c>
      <x:c r="J8" s="199" t="n">
        <x:f>IF(D8*F8&gt;0,MAX(I8-H8,0)/(D8*F8),9.9)</x:f>
        <x:v>0</x:v>
      </x:c>
      <x:c r="K8" s="199" t="n">
        <x:v>2.4</x:v>
      </x:c>
      <x:c r="L8" s="200" t="n">
        <x:v>1.08</x:v>
      </x:c>
      <x:c r="M8" s="200" t="n">
        <x:v>0.07</x:v>
      </x:c>
      <x:c r="N8" s="201" t="n">
        <x:v>0</x:v>
      </x:c>
      <x:c r="O8" s="202" t="n">
        <x:v>1.15</x:v>
      </x:c>
      <x:c r="P8" s="203" t="n">
        <x:f>0.12*MAX(0,MIN(100,E8*300))+0.18*MAX(0,MIN(100,50+F8*250))+0.18*MAX(0,MIN(100,50+G8*250))+0.22*MAX(0,MIN(100,100-J8*22))+0.14*MAX(0,MIN(100,K8*40))+0.08*MAX(0,MIN(100,(L8*100-90)*2.5))+0.08*MAX(0,100-N8*22)</x:f>
        <x:v>85.64999999999999</x:v>
      </x:c>
      <x:c r="Q8" s="203" t="n">
        <x:f>0.7*MIN(100,O8/3.2*100)+0.3*MIN(100,M8*200)</x:f>
        <x:v>29.356249999999992</x:v>
      </x:c>
      <x:c r="R8" s="203" t="n">
        <x:f>0.65*P8+0.35*Q8</x:f>
        <x:v>65.9471875</x:v>
      </x:c>
      <x:c r="S8" s="201" t="str">
        <x:f>IF(R8&gt;=75,"Tier 1",IF(R8&gt;=60,"Tier 2","Tier 3"))</x:f>
        <x:v>Tier 2</x:v>
      </x:c>
      <x:c r="T8" s="186"/>
      <x:c r="U8" s="186"/>
      <x:c r="V8" s="186"/>
      <x:c r="W8" s="186"/>
      <x:c r="X8" s="186"/>
      <x:c r="Y8" s="186"/>
      <x:c r="Z8" s="186"/>
    </x:row>
    <x:row r="9">
      <x:c r="A9" s="196" t="str">
        <x:v>HelioStack Cloud</x:v>
      </x:c>
      <x:c r="B9" s="196" t="str">
        <x:v>Cloud Services</x:v>
      </x:c>
      <x:c r="C9" s="196" t="str">
        <x:v>Client</x:v>
      </x:c>
      <x:c r="D9" s="197" t="n">
        <x:v>780</x:v>
      </x:c>
      <x:c r="E9" s="198" t="n">
        <x:v>0.15</x:v>
      </x:c>
      <x:c r="F9" s="198" t="n">
        <x:v>0.16</x:v>
      </x:c>
      <x:c r="G9" s="198" t="n">
        <x:v>0.1</x:v>
      </x:c>
      <x:c r="H9" s="197" t="n">
        <x:v>125</x:v>
      </x:c>
      <x:c r="I9" s="197" t="n">
        <x:v>260</x:v>
      </x:c>
      <x:c r="J9" s="199" t="n">
        <x:f>IF(D9*F9&gt;0,MAX(I9-H9,0)/(D9*F9),9.9)</x:f>
        <x:v>1.0817307692307692</x:v>
      </x:c>
      <x:c r="K9" s="199" t="n">
        <x:v>1.6</x:v>
      </x:c>
      <x:c r="L9" s="200" t="n">
        <x:v>1.11</x:v>
      </x:c>
      <x:c r="M9" s="200" t="n">
        <x:v>0.35</x:v>
      </x:c>
      <x:c r="N9" s="201" t="n">
        <x:v>1</x:v>
      </x:c>
      <x:c r="O9" s="202" t="n">
        <x:v>2.4</x:v>
      </x:c>
      <x:c r="P9" s="203" t="n">
        <x:f>0.12*MAX(0,MIN(100,E9*300))+0.18*MAX(0,MIN(100,50+F9*250))+0.18*MAX(0,MIN(100,50+G9*250))+0.22*MAX(0,MIN(100,100-J9*22))+0.14*MAX(0,MIN(100,K9*40))+0.08*MAX(0,MIN(100,(L9*100-90)*2.5))+0.08*MAX(0,100-N9*22)</x:f>
        <x:v>71.26442307692308</x:v>
      </x:c>
      <x:c r="Q9" s="203" t="n">
        <x:f>0.7*MIN(100,O9/3.2*100)+0.3*MIN(100,M9*200)</x:f>
        <x:v>73.49999999999999</x:v>
      </x:c>
      <x:c r="R9" s="203" t="n">
        <x:f>0.65*P9+0.35*Q9</x:f>
        <x:v>72.046875</x:v>
      </x:c>
      <x:c r="S9" s="201" t="str">
        <x:f>IF(R9&gt;=75,"Tier 1",IF(R9&gt;=60,"Tier 2","Tier 3"))</x:f>
        <x:v>Tier 2</x:v>
      </x:c>
      <x:c r="T9" s="186"/>
      <x:c r="U9" s="186"/>
      <x:c r="V9" s="186"/>
      <x:c r="W9" s="186"/>
      <x:c r="X9" s="186"/>
      <x:c r="Y9" s="186"/>
      <x:c r="Z9" s="186"/>
    </x:row>
    <x:row r="10">
      <x:c r="A10" s="196" t="str">
        <x:v>NexaCommerce</x:v>
      </x:c>
      <x:c r="B10" s="196" t="str">
        <x:v>Commerce Enablement</x:v>
      </x:c>
      <x:c r="C10" s="196" t="str">
        <x:v>Prospect</x:v>
      </x:c>
      <x:c r="D10" s="197" t="n">
        <x:v>520</x:v>
      </x:c>
      <x:c r="E10" s="198" t="n">
        <x:v>0.09</x:v>
      </x:c>
      <x:c r="F10" s="198" t="n">
        <x:v>0.13</x:v>
      </x:c>
      <x:c r="G10" s="198" t="n">
        <x:v>0.08</x:v>
      </x:c>
      <x:c r="H10" s="197" t="n">
        <x:v>68</x:v>
      </x:c>
      <x:c r="I10" s="197" t="n">
        <x:v>155</x:v>
      </x:c>
      <x:c r="J10" s="199" t="n">
        <x:f>IF(D10*F10&gt;0,MAX(I10-H10,0)/(D10*F10),9.9)</x:f>
        <x:v>1.2869822485207099</x:v>
      </x:c>
      <x:c r="K10" s="199" t="n">
        <x:v>1.5</x:v>
      </x:c>
      <x:c r="L10" s="200" t="n">
        <x:v>1.04</x:v>
      </x:c>
      <x:c r="M10" s="200" t="n">
        <x:v>0.14</x:v>
      </x:c>
      <x:c r="N10" s="201" t="n">
        <x:v>2</x:v>
      </x:c>
      <x:c r="O10" s="202" t="n">
        <x:v>1.55</x:v>
      </x:c>
      <x:c r="P10" s="203" t="n">
        <x:f>0.12*MAX(0,MIN(100,E10*300))+0.18*MAX(0,MIN(100,50+F10*250))+0.18*MAX(0,MIN(100,50+G10*250))+0.22*MAX(0,MIN(100,100-J10*22))+0.14*MAX(0,MIN(100,K10*40))+0.08*MAX(0,MIN(100,(L10*100-90)*2.5))+0.08*MAX(0,100-N10*22)</x:f>
        <x:v>62.14100591715976</x:v>
      </x:c>
      <x:c r="Q10" s="203" t="n">
        <x:f>0.7*MIN(100,O10/3.2*100)+0.3*MIN(100,M10*200)</x:f>
        <x:v>42.30625</x:v>
      </x:c>
      <x:c r="R10" s="203" t="n">
        <x:f>0.65*P10+0.35*Q10</x:f>
        <x:v>55.19884134615384</x:v>
      </x:c>
      <x:c r="S10" s="201" t="str">
        <x:f>IF(R10&gt;=75,"Tier 1",IF(R10&gt;=60,"Tier 2","Tier 3"))</x:f>
        <x:v>Tier 3</x:v>
      </x:c>
      <x:c r="T10" s="186"/>
      <x:c r="U10" s="186"/>
      <x:c r="V10" s="186"/>
      <x:c r="W10" s="186"/>
      <x:c r="X10" s="186"/>
      <x:c r="Y10" s="186"/>
      <x:c r="Z10" s="186"/>
    </x:row>
    <x:row r="11">
      <x:c r="A11" s="196" t="str">
        <x:v>QuantumRoute Networks</x:v>
      </x:c>
      <x:c r="B11" s="196" t="str">
        <x:v>Network Software</x:v>
      </x:c>
      <x:c r="C11" s="196" t="str">
        <x:v>Client</x:v>
      </x:c>
      <x:c r="D11" s="197" t="n">
        <x:v>940</x:v>
      </x:c>
      <x:c r="E11" s="198" t="n">
        <x:v>0.07</x:v>
      </x:c>
      <x:c r="F11" s="198" t="n">
        <x:v>0.2</x:v>
      </x:c>
      <x:c r="G11" s="198" t="n">
        <x:v>0.15</x:v>
      </x:c>
      <x:c r="H11" s="197" t="n">
        <x:v>170</x:v>
      </x:c>
      <x:c r="I11" s="197" t="n">
        <x:v>325</x:v>
      </x:c>
      <x:c r="J11" s="199" t="n">
        <x:f>IF(D11*F11&gt;0,MAX(I11-H11,0)/(D11*F11),9.9)</x:f>
        <x:v>0.824468085106383</x:v>
      </x:c>
      <x:c r="K11" s="199" t="n">
        <x:v>1.9</x:v>
      </x:c>
      <x:c r="L11" s="200" t="n">
        <x:v>1.06</x:v>
      </x:c>
      <x:c r="M11" s="200" t="n">
        <x:v>0.42</x:v>
      </x:c>
      <x:c r="N11" s="201" t="n">
        <x:v>1</x:v>
      </x:c>
      <x:c r="O11" s="202" t="n">
        <x:v>2.75</x:v>
      </x:c>
      <x:c r="P11" s="203" t="n">
        <x:f>0.12*MAX(0,MIN(100,E11*300))+0.18*MAX(0,MIN(100,50+F11*250))+0.18*MAX(0,MIN(100,50+G11*250))+0.22*MAX(0,MIN(100,100-J11*22))+0.14*MAX(0,MIN(100,K11*40))+0.08*MAX(0,MIN(100,(L11*100-90)*2.5))+0.08*MAX(0,100-N11*22)</x:f>
        <x:v>74.3595744680851</x:v>
      </x:c>
      <x:c r="Q11" s="203" t="n">
        <x:f>0.7*MIN(100,O11/3.2*100)+0.3*MIN(100,M11*200)</x:f>
        <x:v>85.35624999999999</x:v>
      </x:c>
      <x:c r="R11" s="203" t="n">
        <x:f>0.65*P11+0.35*Q11</x:f>
        <x:v>78.20841090425532</x:v>
      </x:c>
      <x:c r="S11" s="201" t="str">
        <x:f>IF(R11&gt;=75,"Tier 1",IF(R11&gt;=60,"Tier 2","Tier 3"))</x:f>
        <x:v>Tier 1</x:v>
      </x:c>
      <x:c r="T11" s="186"/>
      <x:c r="U11" s="186"/>
      <x:c r="V11" s="186"/>
      <x:c r="W11" s="186"/>
      <x:c r="X11" s="186"/>
      <x:c r="Y11" s="186"/>
      <x:c r="Z11" s="186"/>
    </x:row>
    <x:row r="12">
      <x:c r="A12" s="196" t="str">
        <x:v>PrismOps</x:v>
      </x:c>
      <x:c r="B12" s="196" t="str">
        <x:v>DevOps / Automation</x:v>
      </x:c>
      <x:c r="C12" s="196" t="str">
        <x:v>Prospect</x:v>
      </x:c>
      <x:c r="D12" s="197" t="n">
        <x:v>225</x:v>
      </x:c>
      <x:c r="E12" s="198" t="n">
        <x:v>0.18</x:v>
      </x:c>
      <x:c r="F12" s="198" t="n">
        <x:v>0.1</x:v>
      </x:c>
      <x:c r="G12" s="198" t="n">
        <x:v>0.06</x:v>
      </x:c>
      <x:c r="H12" s="197" t="n">
        <x:v>44</x:v>
      </x:c>
      <x:c r="I12" s="197" t="n">
        <x:v>65</x:v>
      </x:c>
      <x:c r="J12" s="199" t="n">
        <x:f>IF(D12*F12&gt;0,MAX(I12-H12,0)/(D12*F12),9.9)</x:f>
        <x:v>0.9333333333333333</x:v>
      </x:c>
      <x:c r="K12" s="199" t="n">
        <x:v>1.7</x:v>
      </x:c>
      <x:c r="L12" s="200" t="n">
        <x:v>1.13</x:v>
      </x:c>
      <x:c r="M12" s="200" t="n">
        <x:v>0.2</x:v>
      </x:c>
      <x:c r="N12" s="201" t="n">
        <x:v>1</x:v>
      </x:c>
      <x:c r="O12" s="202" t="n">
        <x:v>0.95</x:v>
      </x:c>
      <x:c r="P12" s="203" t="n">
        <x:f>0.12*MAX(0,MIN(100,E12*300))+0.18*MAX(0,MIN(100,50+F12*250))+0.18*MAX(0,MIN(100,50+G12*250))+0.22*MAX(0,MIN(100,100-J12*22))+0.14*MAX(0,MIN(100,K12*40))+0.08*MAX(0,MIN(100,(L12*100-90)*2.5))+0.08*MAX(0,100-N12*22)</x:f>
        <x:v>69.52266666666667</x:v>
      </x:c>
      <x:c r="Q12" s="203" t="n">
        <x:f>0.7*MIN(100,O12/3.2*100)+0.3*MIN(100,M12*200)</x:f>
        <x:v>32.78124999999999</x:v>
      </x:c>
      <x:c r="R12" s="203" t="n">
        <x:f>0.65*P12+0.35*Q12</x:f>
        <x:v>56.66317083333333</x:v>
      </x:c>
      <x:c r="S12" s="201" t="str">
        <x:f>IF(R12&gt;=75,"Tier 1",IF(R12&gt;=60,"Tier 2","Tier 3"))</x:f>
        <x:v>Tier 3</x:v>
      </x:c>
      <x:c r="T12" s="186"/>
      <x:c r="U12" s="186"/>
      <x:c r="V12" s="186"/>
      <x:c r="W12" s="186"/>
      <x:c r="X12" s="186"/>
      <x:c r="Y12" s="186"/>
      <x:c r="Z12" s="186"/>
    </x:row>
    <x:row r="13">
      <x:c r="A13" s="196" t="str">
        <x:v>NovaHealthTech</x:v>
      </x:c>
      <x:c r="B13" s="196" t="str">
        <x:v>Healthcare Technology</x:v>
      </x:c>
      <x:c r="C13" s="196" t="str">
        <x:v>Client</x:v>
      </x:c>
      <x:c r="D13" s="197" t="n">
        <x:v>610</x:v>
      </x:c>
      <x:c r="E13" s="198" t="n">
        <x:v>0.13</x:v>
      </x:c>
      <x:c r="F13" s="198" t="n">
        <x:v>0.15</x:v>
      </x:c>
      <x:c r="G13" s="198" t="n">
        <x:v>0.09</x:v>
      </x:c>
      <x:c r="H13" s="197" t="n">
        <x:v>115</x:v>
      </x:c>
      <x:c r="I13" s="197" t="n">
        <x:v>190</x:v>
      </x:c>
      <x:c r="J13" s="199" t="n">
        <x:f>IF(D13*F13&gt;0,MAX(I13-H13,0)/(D13*F13),9.9)</x:f>
        <x:v>0.819672131147541</x:v>
      </x:c>
      <x:c r="K13" s="199" t="n">
        <x:v>1.8</x:v>
      </x:c>
      <x:c r="L13" s="200" t="n">
        <x:v>1.09</x:v>
      </x:c>
      <x:c r="M13" s="200" t="n">
        <x:v>0.06</x:v>
      </x:c>
      <x:c r="N13" s="201" t="n">
        <x:v>1</x:v>
      </x:c>
      <x:c r="O13" s="202" t="n">
        <x:v>1.9</x:v>
      </x:c>
      <x:c r="P13" s="203" t="n">
        <x:f>0.12*MAX(0,MIN(100,E13*300))+0.18*MAX(0,MIN(100,50+F13*250))+0.18*MAX(0,MIN(100,50+G13*250))+0.22*MAX(0,MIN(100,100-J13*22))+0.14*MAX(0,MIN(100,K13*40))+0.08*MAX(0,MIN(100,(L13*100-90)*2.5))+0.08*MAX(0,100-N13*22)</x:f>
        <x:v>71.63278688524589</x:v>
      </x:c>
      <x:c r="Q13" s="203" t="n">
        <x:f>0.7*MIN(100,O13/3.2*100)+0.3*MIN(100,M13*200)</x:f>
        <x:v>45.16249999999999</x:v>
      </x:c>
      <x:c r="R13" s="203" t="n">
        <x:f>0.65*P13+0.35*Q13</x:f>
        <x:v>62.36818647540983</x:v>
      </x:c>
      <x:c r="S13" s="201" t="str">
        <x:f>IF(R13&gt;=75,"Tier 1",IF(R13&gt;=60,"Tier 2","Tier 3"))</x:f>
        <x:v>Tier 2</x:v>
      </x:c>
      <x:c r="T13" s="186"/>
      <x:c r="U13" s="186"/>
      <x:c r="V13" s="186"/>
      <x:c r="W13" s="186"/>
      <x:c r="X13" s="186"/>
      <x:c r="Y13" s="186"/>
      <x:c r="Z13" s="186"/>
    </x:row>
    <x:row r="14">
      <x:c r="A14" s="196" t="str">
        <x:v>SignalForge</x:v>
      </x:c>
      <x:c r="B14" s="196" t="str">
        <x:v>Data &amp; Analytics</x:v>
      </x:c>
      <x:c r="C14" s="196" t="str">
        <x:v>Prospect</x:v>
      </x:c>
      <x:c r="D14" s="197" t="n">
        <x:v>72</x:v>
      </x:c>
      <x:c r="E14" s="198" t="n">
        <x:v>0.34</x:v>
      </x:c>
      <x:c r="F14" s="198" t="n">
        <x:v>0.02</x:v>
      </x:c>
      <x:c r="G14" s="198" t="n">
        <x:v>-0.06</x:v>
      </x:c>
      <x:c r="H14" s="197" t="n">
        <x:v>29</x:v>
      </x:c>
      <x:c r="I14" s="197" t="n">
        <x:v>15</x:v>
      </x:c>
      <x:c r="J14" s="199" t="n">
        <x:f>IF(D14*F14&gt;0,MAX(I14-H14,0)/(D14*F14),9.9)</x:f>
        <x:v>0</x:v>
      </x:c>
      <x:c r="K14" s="199" t="n">
        <x:v>2.5</x:v>
      </x:c>
      <x:c r="L14" s="200" t="n">
        <x:v>1.24</x:v>
      </x:c>
      <x:c r="M14" s="200" t="n">
        <x:v>0.1</x:v>
      </x:c>
      <x:c r="N14" s="201" t="n">
        <x:v>2</x:v>
      </x:c>
      <x:c r="O14" s="202" t="n">
        <x:v>0.48</x:v>
      </x:c>
      <x:c r="P14" s="203" t="n">
        <x:f>0.12*MAX(0,MIN(100,E14*300))+0.18*MAX(0,MIN(100,50+F14*250))+0.18*MAX(0,MIN(100,50+G14*250))+0.22*MAX(0,MIN(100,100-J14*22))+0.14*MAX(0,MIN(100,K14*40))+0.08*MAX(0,MIN(100,(L14*100-90)*2.5))+0.08*MAX(0,100-N14*22)</x:f>
        <x:v>75.48</x:v>
      </x:c>
      <x:c r="Q14" s="203" t="n">
        <x:f>0.7*MIN(100,O14/3.2*100)+0.3*MIN(100,M14*200)</x:f>
        <x:v>16.5</x:v>
      </x:c>
      <x:c r="R14" s="203" t="n">
        <x:f>0.65*P14+0.35*Q14</x:f>
        <x:v>54.837</x:v>
      </x:c>
      <x:c r="S14" s="201" t="str">
        <x:f>IF(R14&gt;=75,"Tier 1",IF(R14&gt;=60,"Tier 2","Tier 3"))</x:f>
        <x:v>Tier 3</x:v>
      </x:c>
      <x:c r="T14" s="186"/>
      <x:c r="U14" s="186"/>
      <x:c r="V14" s="186"/>
      <x:c r="W14" s="186"/>
      <x:c r="X14" s="186"/>
      <x:c r="Y14" s="186"/>
      <x:c r="Z14" s="186"/>
    </x:row>
    <x:row r="15">
      <x:c r="A15" s="196" t="str">
        <x:v>AtlasEdge Systems</x:v>
      </x:c>
      <x:c r="B15" s="196" t="str">
        <x:v>Edge Computing</x:v>
      </x:c>
      <x:c r="C15" s="196" t="str">
        <x:v>Client</x:v>
      </x:c>
      <x:c r="D15" s="197" t="n">
        <x:v>1180</x:v>
      </x:c>
      <x:c r="E15" s="198" t="n">
        <x:v>0.05</x:v>
      </x:c>
      <x:c r="F15" s="198" t="n">
        <x:v>0.24</x:v>
      </x:c>
      <x:c r="G15" s="198" t="n">
        <x:v>0.18</x:v>
      </x:c>
      <x:c r="H15" s="197" t="n">
        <x:v>210</x:v>
      </x:c>
      <x:c r="I15" s="197" t="n">
        <x:v>360</x:v>
      </x:c>
      <x:c r="J15" s="199" t="n">
        <x:f>IF(D15*F15&gt;0,MAX(I15-H15,0)/(D15*F15),9.9)</x:f>
        <x:v>0.5296610169491526</x:v>
      </x:c>
      <x:c r="K15" s="199" t="n">
        <x:v>2</x:v>
      </x:c>
      <x:c r="L15" s="200" t="n">
        <x:v>1.03</x:v>
      </x:c>
      <x:c r="M15" s="200" t="n">
        <x:v>0.46</x:v>
      </x:c>
      <x:c r="N15" s="201" t="n">
        <x:v>1</x:v>
      </x:c>
      <x:c r="O15" s="202" t="n">
        <x:v>3.1</x:v>
      </x:c>
      <x:c r="P15" s="203" t="n">
        <x:f>0.12*MAX(0,MIN(100,E15*300))+0.18*MAX(0,MIN(100,50+F15*250))+0.18*MAX(0,MIN(100,50+G15*250))+0.22*MAX(0,MIN(100,100-J15*22))+0.14*MAX(0,MIN(100,K15*40))+0.08*MAX(0,MIN(100,(L15*100-90)*2.5))+0.08*MAX(0,100-N15*22)</x:f>
        <x:v>76.37644067796609</x:v>
      </x:c>
      <x:c r="Q15" s="203" t="n">
        <x:f>0.7*MIN(100,O15/3.2*100)+0.3*MIN(100,M15*200)</x:f>
        <x:v>95.4125</x:v>
      </x:c>
      <x:c r="R15" s="203" t="n">
        <x:f>0.65*P15+0.35*Q15</x:f>
        <x:v>83.03906144067795</x:v>
      </x:c>
      <x:c r="S15" s="201" t="str">
        <x:f>IF(R15&gt;=75,"Tier 1",IF(R15&gt;=60,"Tier 2","Tier 3"))</x:f>
        <x:v>Tier 1</x:v>
      </x:c>
      <x:c r="T15" s="186"/>
      <x:c r="U15" s="186"/>
      <x:c r="V15" s="186"/>
      <x:c r="W15" s="186"/>
      <x:c r="X15" s="186"/>
      <x:c r="Y15" s="186"/>
      <x:c r="Z15" s="186"/>
    </x:row>
    <x:row r="16">
      <x:c r="A16" s="186"/>
      <x:c r="B16" s="186"/>
      <x:c r="C16" s="186"/>
      <x:c r="D16" s="186"/>
      <x:c r="E16" s="186"/>
      <x:c r="F16" s="186"/>
      <x:c r="G16" s="186"/>
      <x:c r="H16" s="186"/>
      <x:c r="I16" s="186"/>
      <x:c r="J16" s="186"/>
      <x:c r="K16" s="186"/>
      <x:c r="L16" s="186"/>
      <x:c r="M16" s="186"/>
      <x:c r="N16" s="186"/>
      <x:c r="O16" s="186"/>
      <x:c r="P16" s="186"/>
      <x:c r="Q16" s="186"/>
      <x:c r="R16" s="186"/>
      <x:c r="S16" s="186"/>
      <x:c r="T16" s="186"/>
      <x:c r="U16" s="186"/>
      <x:c r="V16" s="186"/>
      <x:c r="W16" s="186"/>
      <x:c r="X16" s="186"/>
      <x:c r="Y16" s="186"/>
      <x:c r="Z16" s="186"/>
    </x:row>
    <x:row r="17">
      <x:c r="A17" s="186"/>
      <x:c r="B17" s="186"/>
      <x:c r="C17" s="186"/>
      <x:c r="D17" s="186"/>
      <x:c r="E17" s="186"/>
      <x:c r="F17" s="186"/>
      <x:c r="G17" s="186"/>
      <x:c r="H17" s="186"/>
      <x:c r="I17" s="186"/>
      <x:c r="J17" s="186"/>
      <x:c r="K17" s="186"/>
      <x:c r="L17" s="186"/>
      <x:c r="M17" s="186"/>
      <x:c r="N17" s="186"/>
      <x:c r="O17" s="186"/>
      <x:c r="P17" s="186"/>
      <x:c r="Q17" s="186"/>
      <x:c r="R17" s="186"/>
      <x:c r="S17" s="186"/>
      <x:c r="T17" s="186"/>
      <x:c r="U17" s="186"/>
      <x:c r="V17" s="186"/>
      <x:c r="W17" s="186"/>
      <x:c r="X17" s="186"/>
      <x:c r="Y17" s="186"/>
      <x:c r="Z17" s="186"/>
    </x:row>
    <x:row r="18">
      <x:c r="A18" s="186"/>
      <x:c r="B18" s="186"/>
      <x:c r="C18" s="186"/>
      <x:c r="D18" s="186"/>
      <x:c r="E18" s="186"/>
      <x:c r="F18" s="186"/>
      <x:c r="G18" s="186"/>
      <x:c r="H18" s="186"/>
      <x:c r="I18" s="186"/>
      <x:c r="J18" s="186"/>
      <x:c r="K18" s="186"/>
      <x:c r="L18" s="186"/>
      <x:c r="M18" s="186"/>
      <x:c r="N18" s="186"/>
      <x:c r="O18" s="186"/>
      <x:c r="P18" s="186"/>
      <x:c r="Q18" s="186"/>
      <x:c r="R18" s="186"/>
      <x:c r="S18" s="186"/>
      <x:c r="T18" s="186"/>
      <x:c r="U18" s="186"/>
      <x:c r="V18" s="186"/>
      <x:c r="W18" s="186"/>
      <x:c r="X18" s="186"/>
      <x:c r="Y18" s="186"/>
      <x:c r="Z18" s="186"/>
    </x:row>
    <x:row r="19">
      <x:c r="A19" s="186"/>
      <x:c r="B19" s="186"/>
      <x:c r="C19" s="186"/>
      <x:c r="D19" s="186"/>
      <x:c r="E19" s="186"/>
      <x:c r="F19" s="186"/>
      <x:c r="G19" s="186"/>
      <x:c r="H19" s="186"/>
      <x:c r="I19" s="186"/>
      <x:c r="J19" s="186"/>
      <x:c r="K19" s="186"/>
      <x:c r="L19" s="186"/>
      <x:c r="M19" s="186"/>
      <x:c r="N19" s="186"/>
      <x:c r="O19" s="186"/>
      <x:c r="P19" s="186"/>
      <x:c r="Q19" s="186"/>
      <x:c r="R19" s="186"/>
      <x:c r="S19" s="186"/>
      <x:c r="T19" s="186"/>
      <x:c r="U19" s="186"/>
      <x:c r="V19" s="186"/>
      <x:c r="W19" s="186"/>
      <x:c r="X19" s="186"/>
      <x:c r="Y19" s="186"/>
      <x:c r="Z19" s="186"/>
    </x:row>
    <x:row r="20">
      <x:c r="A20" s="186"/>
      <x:c r="B20" s="186"/>
      <x:c r="C20" s="186"/>
      <x:c r="D20" s="186"/>
      <x:c r="E20" s="186"/>
      <x:c r="F20" s="186"/>
      <x:c r="G20" s="186"/>
      <x:c r="H20" s="186"/>
      <x:c r="I20" s="186"/>
      <x:c r="J20" s="186"/>
      <x:c r="K20" s="186"/>
      <x:c r="L20" s="186"/>
      <x:c r="M20" s="186"/>
      <x:c r="N20" s="186"/>
      <x:c r="O20" s="186"/>
      <x:c r="P20" s="186"/>
      <x:c r="Q20" s="186"/>
      <x:c r="R20" s="186"/>
      <x:c r="S20" s="186"/>
      <x:c r="T20" s="186"/>
      <x:c r="U20" s="186"/>
      <x:c r="V20" s="186"/>
      <x:c r="W20" s="186"/>
      <x:c r="X20" s="186"/>
      <x:c r="Y20" s="186"/>
      <x:c r="Z20" s="186"/>
    </x:row>
    <x:row r="21">
      <x:c r="A21" s="186"/>
      <x:c r="B21" s="186"/>
      <x:c r="C21" s="186"/>
      <x:c r="D21" s="186"/>
      <x:c r="E21" s="186"/>
      <x:c r="F21" s="186"/>
      <x:c r="G21" s="186"/>
      <x:c r="H21" s="186"/>
      <x:c r="I21" s="186"/>
      <x:c r="J21" s="186"/>
      <x:c r="K21" s="186"/>
      <x:c r="L21" s="186"/>
      <x:c r="M21" s="186"/>
      <x:c r="N21" s="186"/>
      <x:c r="O21" s="186"/>
      <x:c r="P21" s="186"/>
      <x:c r="Q21" s="186"/>
      <x:c r="R21" s="186"/>
      <x:c r="S21" s="186"/>
      <x:c r="T21" s="186"/>
      <x:c r="U21" s="186"/>
      <x:c r="V21" s="186"/>
      <x:c r="W21" s="186"/>
      <x:c r="X21" s="186"/>
      <x:c r="Y21" s="186"/>
      <x:c r="Z21" s="186"/>
    </x:row>
    <x:row r="22">
      <x:c r="A22" s="186"/>
      <x:c r="B22" s="186"/>
      <x:c r="C22" s="186"/>
      <x:c r="D22" s="186"/>
      <x:c r="E22" s="186"/>
      <x:c r="F22" s="186"/>
      <x:c r="G22" s="186"/>
      <x:c r="H22" s="186"/>
      <x:c r="I22" s="186"/>
      <x:c r="J22" s="186"/>
      <x:c r="K22" s="186"/>
      <x:c r="L22" s="186"/>
      <x:c r="M22" s="186"/>
      <x:c r="N22" s="186"/>
      <x:c r="O22" s="186"/>
      <x:c r="P22" s="186"/>
      <x:c r="Q22" s="186"/>
      <x:c r="R22" s="186"/>
      <x:c r="S22" s="186"/>
      <x:c r="T22" s="186"/>
      <x:c r="U22" s="186"/>
      <x:c r="V22" s="186"/>
      <x:c r="W22" s="186"/>
      <x:c r="X22" s="186"/>
      <x:c r="Y22" s="186"/>
      <x:c r="Z22" s="186"/>
    </x:row>
    <x:row r="23">
      <x:c r="A23" s="186"/>
      <x:c r="B23" s="186"/>
      <x:c r="C23" s="186"/>
      <x:c r="D23" s="186"/>
      <x:c r="E23" s="186"/>
      <x:c r="F23" s="186"/>
      <x:c r="G23" s="186"/>
      <x:c r="H23" s="186"/>
      <x:c r="I23" s="186"/>
      <x:c r="J23" s="186"/>
      <x:c r="K23" s="186"/>
      <x:c r="L23" s="186"/>
      <x:c r="M23" s="186"/>
      <x:c r="N23" s="186"/>
      <x:c r="O23" s="186"/>
      <x:c r="P23" s="186"/>
      <x:c r="Q23" s="186"/>
      <x:c r="R23" s="186"/>
      <x:c r="S23" s="186"/>
      <x:c r="T23" s="186"/>
      <x:c r="U23" s="186"/>
      <x:c r="V23" s="186"/>
      <x:c r="W23" s="186"/>
      <x:c r="X23" s="186"/>
      <x:c r="Y23" s="186"/>
      <x:c r="Z23" s="186"/>
    </x:row>
    <x:row r="24">
      <x:c r="A24" s="186"/>
      <x:c r="B24" s="186"/>
      <x:c r="C24" s="186"/>
      <x:c r="D24" s="186"/>
      <x:c r="E24" s="186"/>
      <x:c r="F24" s="186"/>
      <x:c r="G24" s="186"/>
      <x:c r="H24" s="186"/>
      <x:c r="I24" s="186"/>
      <x:c r="J24" s="186"/>
      <x:c r="K24" s="186"/>
      <x:c r="L24" s="186"/>
      <x:c r="M24" s="186"/>
      <x:c r="N24" s="186"/>
      <x:c r="O24" s="186"/>
      <x:c r="P24" s="186"/>
      <x:c r="Q24" s="186"/>
      <x:c r="R24" s="186"/>
      <x:c r="S24" s="186"/>
      <x:c r="T24" s="186"/>
      <x:c r="U24" s="186"/>
      <x:c r="V24" s="186"/>
      <x:c r="W24" s="186"/>
      <x:c r="X24" s="186"/>
      <x:c r="Y24" s="186"/>
      <x:c r="Z24" s="186"/>
    </x:row>
    <x:row r="25">
      <x:c r="A25" s="186"/>
      <x:c r="B25" s="186"/>
      <x:c r="C25" s="186"/>
      <x:c r="D25" s="186"/>
      <x:c r="E25" s="186"/>
      <x:c r="F25" s="186"/>
      <x:c r="G25" s="186"/>
      <x:c r="H25" s="186"/>
      <x:c r="I25" s="186"/>
      <x:c r="J25" s="186"/>
      <x:c r="K25" s="186"/>
      <x:c r="L25" s="186"/>
      <x:c r="M25" s="186"/>
      <x:c r="N25" s="186"/>
      <x:c r="O25" s="186"/>
      <x:c r="P25" s="186"/>
      <x:c r="Q25" s="186"/>
      <x:c r="R25" s="186"/>
      <x:c r="S25" s="186"/>
      <x:c r="T25" s="186"/>
      <x:c r="U25" s="186"/>
      <x:c r="V25" s="186"/>
      <x:c r="W25" s="186"/>
      <x:c r="X25" s="186"/>
      <x:c r="Y25" s="186"/>
      <x:c r="Z25" s="186"/>
    </x:row>
    <x:row r="26">
      <x:c r="A26" s="186"/>
      <x:c r="B26" s="186"/>
      <x:c r="C26" s="186"/>
      <x:c r="D26" s="186"/>
      <x:c r="E26" s="186"/>
      <x:c r="F26" s="186"/>
      <x:c r="G26" s="186"/>
      <x:c r="H26" s="186"/>
      <x:c r="I26" s="186"/>
      <x:c r="J26" s="186"/>
      <x:c r="K26" s="186"/>
      <x:c r="L26" s="186"/>
      <x:c r="M26" s="186"/>
      <x:c r="N26" s="186"/>
      <x:c r="O26" s="186"/>
      <x:c r="P26" s="186"/>
      <x:c r="Q26" s="186"/>
      <x:c r="R26" s="186"/>
      <x:c r="S26" s="186"/>
      <x:c r="T26" s="186"/>
      <x:c r="U26" s="186"/>
      <x:c r="V26" s="186"/>
      <x:c r="W26" s="186"/>
      <x:c r="X26" s="186"/>
      <x:c r="Y26" s="186"/>
      <x:c r="Z26" s="186"/>
    </x:row>
    <x:row r="27">
      <x:c r="A27" s="186"/>
      <x:c r="B27" s="186"/>
      <x:c r="C27" s="186"/>
      <x:c r="D27" s="186"/>
      <x:c r="E27" s="186"/>
      <x:c r="F27" s="186"/>
      <x:c r="G27" s="186"/>
      <x:c r="H27" s="186"/>
      <x:c r="I27" s="186"/>
      <x:c r="J27" s="186"/>
      <x:c r="K27" s="186"/>
      <x:c r="L27" s="186"/>
      <x:c r="M27" s="186"/>
      <x:c r="N27" s="186"/>
      <x:c r="O27" s="186"/>
      <x:c r="P27" s="186"/>
      <x:c r="Q27" s="186"/>
      <x:c r="R27" s="186"/>
      <x:c r="S27" s="186"/>
      <x:c r="T27" s="186"/>
      <x:c r="U27" s="186"/>
      <x:c r="V27" s="186"/>
      <x:c r="W27" s="186"/>
      <x:c r="X27" s="186"/>
      <x:c r="Y27" s="186"/>
      <x:c r="Z27" s="186"/>
    </x:row>
    <x:row r="28">
      <x:c r="A28" s="186"/>
      <x:c r="B28" s="186"/>
      <x:c r="C28" s="186"/>
      <x:c r="D28" s="186"/>
      <x:c r="E28" s="186"/>
      <x:c r="F28" s="186"/>
      <x:c r="G28" s="186"/>
      <x:c r="H28" s="186"/>
      <x:c r="I28" s="186"/>
      <x:c r="J28" s="186"/>
      <x:c r="K28" s="186"/>
      <x:c r="L28" s="186"/>
      <x:c r="M28" s="186"/>
      <x:c r="N28" s="186"/>
      <x:c r="O28" s="186"/>
      <x:c r="P28" s="186"/>
      <x:c r="Q28" s="186"/>
      <x:c r="R28" s="186"/>
      <x:c r="S28" s="186"/>
      <x:c r="T28" s="186"/>
      <x:c r="U28" s="186"/>
      <x:c r="V28" s="186"/>
      <x:c r="W28" s="186"/>
      <x:c r="X28" s="186"/>
      <x:c r="Y28" s="186"/>
      <x:c r="Z28" s="186"/>
    </x:row>
    <x:row r="29">
      <x:c r="A29" s="186"/>
      <x:c r="B29" s="186"/>
      <x:c r="C29" s="186"/>
      <x:c r="D29" s="186"/>
      <x:c r="E29" s="186"/>
      <x:c r="F29" s="186"/>
      <x:c r="G29" s="186"/>
      <x:c r="H29" s="186"/>
      <x:c r="I29" s="186"/>
      <x:c r="J29" s="186"/>
      <x:c r="K29" s="186"/>
      <x:c r="L29" s="186"/>
      <x:c r="M29" s="186"/>
      <x:c r="N29" s="186"/>
      <x:c r="O29" s="186"/>
      <x:c r="P29" s="186"/>
      <x:c r="Q29" s="186"/>
      <x:c r="R29" s="186"/>
      <x:c r="S29" s="186"/>
      <x:c r="T29" s="186"/>
      <x:c r="U29" s="186"/>
      <x:c r="V29" s="186"/>
      <x:c r="W29" s="186"/>
      <x:c r="X29" s="186"/>
      <x:c r="Y29" s="186"/>
      <x:c r="Z29" s="186"/>
    </x:row>
    <x:row r="30">
      <x:c r="A30" s="186"/>
      <x:c r="B30" s="186"/>
      <x:c r="C30" s="186"/>
      <x:c r="D30" s="186"/>
      <x:c r="E30" s="186"/>
      <x:c r="F30" s="186"/>
      <x:c r="G30" s="186"/>
      <x:c r="H30" s="186"/>
      <x:c r="I30" s="186"/>
      <x:c r="J30" s="186"/>
      <x:c r="K30" s="186"/>
      <x:c r="L30" s="186"/>
      <x:c r="M30" s="186"/>
      <x:c r="N30" s="186"/>
      <x:c r="O30" s="186"/>
      <x:c r="P30" s="186"/>
      <x:c r="Q30" s="186"/>
      <x:c r="R30" s="186"/>
      <x:c r="S30" s="186"/>
      <x:c r="T30" s="186"/>
      <x:c r="U30" s="186"/>
      <x:c r="V30" s="186"/>
      <x:c r="W30" s="186"/>
      <x:c r="X30" s="186"/>
      <x:c r="Y30" s="186"/>
      <x:c r="Z30" s="186"/>
    </x:row>
    <x:row r="31">
      <x:c r="A31" s="186"/>
      <x:c r="B31" s="186"/>
      <x:c r="C31" s="186"/>
      <x:c r="D31" s="186"/>
      <x:c r="E31" s="186"/>
      <x:c r="F31" s="186"/>
      <x:c r="G31" s="186"/>
      <x:c r="H31" s="186"/>
      <x:c r="I31" s="186"/>
      <x:c r="J31" s="186"/>
      <x:c r="K31" s="186"/>
      <x:c r="L31" s="186"/>
      <x:c r="M31" s="186"/>
      <x:c r="N31" s="186"/>
      <x:c r="O31" s="186"/>
      <x:c r="P31" s="186"/>
      <x:c r="Q31" s="186"/>
      <x:c r="R31" s="186"/>
      <x:c r="S31" s="186"/>
      <x:c r="T31" s="186"/>
      <x:c r="U31" s="186"/>
      <x:c r="V31" s="186"/>
      <x:c r="W31" s="186"/>
      <x:c r="X31" s="186"/>
      <x:c r="Y31" s="186"/>
      <x:c r="Z31" s="186"/>
    </x:row>
    <x:row r="32">
      <x:c r="A32" s="186"/>
      <x:c r="B32" s="186"/>
      <x:c r="C32" s="186"/>
      <x:c r="D32" s="186"/>
      <x:c r="E32" s="186"/>
      <x:c r="F32" s="186"/>
      <x:c r="G32" s="186"/>
      <x:c r="H32" s="186"/>
      <x:c r="I32" s="186"/>
      <x:c r="J32" s="186"/>
      <x:c r="K32" s="186"/>
      <x:c r="L32" s="186"/>
      <x:c r="M32" s="186"/>
      <x:c r="N32" s="186"/>
      <x:c r="O32" s="186"/>
      <x:c r="P32" s="186"/>
      <x:c r="Q32" s="186"/>
      <x:c r="R32" s="186"/>
      <x:c r="S32" s="186"/>
      <x:c r="T32" s="186"/>
      <x:c r="U32" s="186"/>
      <x:c r="V32" s="186"/>
      <x:c r="W32" s="186"/>
      <x:c r="X32" s="186"/>
      <x:c r="Y32" s="186"/>
      <x:c r="Z32" s="186"/>
    </x:row>
    <x:row r="33">
      <x:c r="A33" s="186"/>
      <x:c r="B33" s="186"/>
      <x:c r="C33" s="186"/>
      <x:c r="D33" s="186"/>
      <x:c r="E33" s="186"/>
      <x:c r="F33" s="186"/>
      <x:c r="G33" s="186"/>
      <x:c r="H33" s="186"/>
      <x:c r="I33" s="186"/>
      <x:c r="J33" s="186"/>
      <x:c r="K33" s="186"/>
      <x:c r="L33" s="186"/>
      <x:c r="M33" s="186"/>
      <x:c r="N33" s="186"/>
      <x:c r="O33" s="186"/>
      <x:c r="P33" s="186"/>
      <x:c r="Q33" s="186"/>
      <x:c r="R33" s="186"/>
      <x:c r="S33" s="186"/>
      <x:c r="T33" s="186"/>
      <x:c r="U33" s="186"/>
      <x:c r="V33" s="186"/>
      <x:c r="W33" s="186"/>
      <x:c r="X33" s="186"/>
      <x:c r="Y33" s="186"/>
      <x:c r="Z33" s="186"/>
    </x:row>
    <x:row r="34">
      <x:c r="A34" s="186"/>
      <x:c r="B34" s="186"/>
      <x:c r="C34" s="186"/>
      <x:c r="D34" s="186"/>
      <x:c r="E34" s="186"/>
      <x:c r="F34" s="186"/>
      <x:c r="G34" s="186"/>
      <x:c r="H34" s="186"/>
      <x:c r="I34" s="186"/>
      <x:c r="J34" s="186"/>
      <x:c r="K34" s="186"/>
      <x:c r="L34" s="186"/>
      <x:c r="M34" s="186"/>
      <x:c r="N34" s="186"/>
      <x:c r="O34" s="186"/>
      <x:c r="P34" s="186"/>
      <x:c r="Q34" s="186"/>
      <x:c r="R34" s="186"/>
      <x:c r="S34" s="186"/>
      <x:c r="T34" s="186"/>
      <x:c r="U34" s="186"/>
      <x:c r="V34" s="186"/>
      <x:c r="W34" s="186"/>
      <x:c r="X34" s="186"/>
      <x:c r="Y34" s="186"/>
      <x:c r="Z34" s="186"/>
    </x:row>
    <x:row r="35">
      <x:c r="A35" s="186"/>
      <x:c r="B35" s="186"/>
      <x:c r="C35" s="186"/>
      <x:c r="D35" s="186"/>
      <x:c r="E35" s="186"/>
      <x:c r="F35" s="186"/>
      <x:c r="G35" s="186"/>
      <x:c r="H35" s="186"/>
      <x:c r="I35" s="186"/>
      <x:c r="J35" s="186"/>
      <x:c r="K35" s="186"/>
      <x:c r="L35" s="186"/>
      <x:c r="M35" s="186"/>
      <x:c r="N35" s="186"/>
      <x:c r="O35" s="186"/>
      <x:c r="P35" s="186"/>
      <x:c r="Q35" s="186"/>
      <x:c r="R35" s="186"/>
      <x:c r="S35" s="186"/>
      <x:c r="T35" s="186"/>
      <x:c r="U35" s="186"/>
      <x:c r="V35" s="186"/>
      <x:c r="W35" s="186"/>
      <x:c r="X35" s="186"/>
      <x:c r="Y35" s="186"/>
      <x:c r="Z35" s="186"/>
    </x:row>
    <x:row r="36">
      <x:c r="A36" s="186"/>
      <x:c r="B36" s="186"/>
      <x:c r="C36" s="186"/>
      <x:c r="D36" s="186"/>
      <x:c r="E36" s="186"/>
      <x:c r="F36" s="186"/>
      <x:c r="G36" s="186"/>
      <x:c r="H36" s="186"/>
      <x:c r="I36" s="186"/>
      <x:c r="J36" s="186"/>
      <x:c r="K36" s="186"/>
      <x:c r="L36" s="186"/>
      <x:c r="M36" s="186"/>
      <x:c r="N36" s="186"/>
      <x:c r="O36" s="186"/>
      <x:c r="P36" s="186"/>
      <x:c r="Q36" s="186"/>
      <x:c r="R36" s="186"/>
      <x:c r="S36" s="186"/>
      <x:c r="T36" s="186"/>
      <x:c r="U36" s="186"/>
      <x:c r="V36" s="186"/>
      <x:c r="W36" s="186"/>
      <x:c r="X36" s="186"/>
      <x:c r="Y36" s="186"/>
      <x:c r="Z36" s="186"/>
    </x:row>
    <x:row r="37">
      <x:c r="A37" s="186"/>
      <x:c r="B37" s="186"/>
      <x:c r="C37" s="186"/>
      <x:c r="D37" s="186"/>
      <x:c r="E37" s="186"/>
      <x:c r="F37" s="186"/>
      <x:c r="G37" s="186"/>
      <x:c r="H37" s="186"/>
      <x:c r="I37" s="186"/>
      <x:c r="J37" s="186"/>
      <x:c r="K37" s="186"/>
      <x:c r="L37" s="186"/>
      <x:c r="M37" s="186"/>
      <x:c r="N37" s="186"/>
      <x:c r="O37" s="186"/>
      <x:c r="P37" s="186"/>
      <x:c r="Q37" s="186"/>
      <x:c r="R37" s="186"/>
      <x:c r="S37" s="186"/>
      <x:c r="T37" s="186"/>
      <x:c r="U37" s="186"/>
      <x:c r="V37" s="186"/>
      <x:c r="W37" s="186"/>
      <x:c r="X37" s="186"/>
      <x:c r="Y37" s="186"/>
      <x:c r="Z37" s="186"/>
    </x:row>
    <x:row r="38">
      <x:c r="A38" s="186"/>
      <x:c r="B38" s="186"/>
      <x:c r="C38" s="186"/>
      <x:c r="D38" s="186"/>
      <x:c r="E38" s="186"/>
      <x:c r="F38" s="186"/>
      <x:c r="G38" s="186"/>
      <x:c r="H38" s="186"/>
      <x:c r="I38" s="186"/>
      <x:c r="J38" s="186"/>
      <x:c r="K38" s="186"/>
      <x:c r="L38" s="186"/>
      <x:c r="M38" s="186"/>
      <x:c r="N38" s="186"/>
      <x:c r="O38" s="186"/>
      <x:c r="P38" s="186"/>
      <x:c r="Q38" s="186"/>
      <x:c r="R38" s="186"/>
      <x:c r="S38" s="186"/>
      <x:c r="T38" s="186"/>
      <x:c r="U38" s="186"/>
      <x:c r="V38" s="186"/>
      <x:c r="W38" s="186"/>
      <x:c r="X38" s="186"/>
      <x:c r="Y38" s="186"/>
      <x:c r="Z38" s="186"/>
    </x:row>
    <x:row r="39">
      <x:c r="A39" s="186"/>
      <x:c r="B39" s="186"/>
      <x:c r="C39" s="186"/>
      <x:c r="D39" s="186"/>
      <x:c r="E39" s="186"/>
      <x:c r="F39" s="186"/>
      <x:c r="G39" s="186"/>
      <x:c r="H39" s="186"/>
      <x:c r="I39" s="186"/>
      <x:c r="J39" s="186"/>
      <x:c r="K39" s="186"/>
      <x:c r="L39" s="186"/>
      <x:c r="M39" s="186"/>
      <x:c r="N39" s="186"/>
      <x:c r="O39" s="186"/>
      <x:c r="P39" s="186"/>
      <x:c r="Q39" s="186"/>
      <x:c r="R39" s="186"/>
      <x:c r="S39" s="186"/>
      <x:c r="T39" s="186"/>
      <x:c r="U39" s="186"/>
      <x:c r="V39" s="186"/>
      <x:c r="W39" s="186"/>
      <x:c r="X39" s="186"/>
      <x:c r="Y39" s="186"/>
      <x:c r="Z39" s="186"/>
    </x:row>
    <x:row r="40">
      <x:c r="A40" s="186"/>
      <x:c r="B40" s="186"/>
      <x:c r="C40" s="186"/>
      <x:c r="D40" s="186"/>
      <x:c r="E40" s="186"/>
      <x:c r="F40" s="186"/>
      <x:c r="G40" s="186"/>
      <x:c r="H40" s="186"/>
      <x:c r="I40" s="186"/>
      <x:c r="J40" s="186"/>
      <x:c r="K40" s="186"/>
      <x:c r="L40" s="186"/>
      <x:c r="M40" s="186"/>
      <x:c r="N40" s="186"/>
      <x:c r="O40" s="186"/>
      <x:c r="P40" s="186"/>
      <x:c r="Q40" s="186"/>
      <x:c r="R40" s="186"/>
      <x:c r="S40" s="186"/>
      <x:c r="T40" s="186"/>
      <x:c r="U40" s="186"/>
      <x:c r="V40" s="186"/>
      <x:c r="W40" s="186"/>
      <x:c r="X40" s="186"/>
      <x:c r="Y40" s="186"/>
      <x:c r="Z40" s="186"/>
    </x:row>
    <x:row r="41">
      <x:c r="A41" s="186"/>
      <x:c r="B41" s="186"/>
      <x:c r="C41" s="186"/>
      <x:c r="D41" s="186"/>
      <x:c r="E41" s="186"/>
      <x:c r="F41" s="186"/>
      <x:c r="G41" s="186"/>
      <x:c r="H41" s="186"/>
      <x:c r="I41" s="186"/>
      <x:c r="J41" s="186"/>
      <x:c r="K41" s="186"/>
      <x:c r="L41" s="186"/>
      <x:c r="M41" s="186"/>
      <x:c r="N41" s="186"/>
      <x:c r="O41" s="186"/>
      <x:c r="P41" s="186"/>
      <x:c r="Q41" s="186"/>
      <x:c r="R41" s="186"/>
      <x:c r="S41" s="186"/>
      <x:c r="T41" s="186"/>
      <x:c r="U41" s="186"/>
      <x:c r="V41" s="186"/>
      <x:c r="W41" s="186"/>
      <x:c r="X41" s="186"/>
      <x:c r="Y41" s="186"/>
      <x:c r="Z41" s="186"/>
    </x:row>
    <x:row r="42">
      <x:c r="A42" s="186"/>
      <x:c r="B42" s="186"/>
      <x:c r="C42" s="186"/>
      <x:c r="D42" s="186"/>
      <x:c r="E42" s="186"/>
      <x:c r="F42" s="186"/>
      <x:c r="G42" s="186"/>
      <x:c r="H42" s="186"/>
      <x:c r="I42" s="186"/>
      <x:c r="J42" s="186"/>
      <x:c r="K42" s="186"/>
      <x:c r="L42" s="186"/>
      <x:c r="M42" s="186"/>
      <x:c r="N42" s="186"/>
      <x:c r="O42" s="186"/>
      <x:c r="P42" s="186"/>
      <x:c r="Q42" s="186"/>
      <x:c r="R42" s="186"/>
      <x:c r="S42" s="186"/>
      <x:c r="T42" s="186"/>
      <x:c r="U42" s="186"/>
      <x:c r="V42" s="186"/>
      <x:c r="W42" s="186"/>
      <x:c r="X42" s="186"/>
      <x:c r="Y42" s="186"/>
      <x:c r="Z42" s="186"/>
    </x:row>
    <x:row r="43">
      <x:c r="A43" s="186"/>
      <x:c r="B43" s="186"/>
      <x:c r="C43" s="186"/>
      <x:c r="D43" s="186"/>
      <x:c r="E43" s="186"/>
      <x:c r="F43" s="186"/>
      <x:c r="G43" s="186"/>
      <x:c r="H43" s="186"/>
      <x:c r="I43" s="186"/>
      <x:c r="J43" s="186"/>
      <x:c r="K43" s="186"/>
      <x:c r="L43" s="186"/>
      <x:c r="M43" s="186"/>
      <x:c r="N43" s="186"/>
      <x:c r="O43" s="186"/>
      <x:c r="P43" s="186"/>
      <x:c r="Q43" s="186"/>
      <x:c r="R43" s="186"/>
      <x:c r="S43" s="186"/>
      <x:c r="T43" s="186"/>
      <x:c r="U43" s="186"/>
      <x:c r="V43" s="186"/>
      <x:c r="W43" s="186"/>
      <x:c r="X43" s="186"/>
      <x:c r="Y43" s="186"/>
      <x:c r="Z43" s="186"/>
    </x:row>
    <x:row r="44">
      <x:c r="A44" s="186"/>
      <x:c r="B44" s="186"/>
      <x:c r="C44" s="186"/>
      <x:c r="D44" s="186"/>
      <x:c r="E44" s="186"/>
      <x:c r="F44" s="186"/>
      <x:c r="G44" s="186"/>
      <x:c r="H44" s="186"/>
      <x:c r="I44" s="186"/>
      <x:c r="J44" s="186"/>
      <x:c r="K44" s="186"/>
      <x:c r="L44" s="186"/>
      <x:c r="M44" s="186"/>
      <x:c r="N44" s="186"/>
      <x:c r="O44" s="186"/>
      <x:c r="P44" s="186"/>
      <x:c r="Q44" s="186"/>
      <x:c r="R44" s="186"/>
      <x:c r="S44" s="186"/>
      <x:c r="T44" s="186"/>
      <x:c r="U44" s="186"/>
      <x:c r="V44" s="186"/>
      <x:c r="W44" s="186"/>
      <x:c r="X44" s="186"/>
      <x:c r="Y44" s="186"/>
      <x:c r="Z44" s="186"/>
    </x:row>
    <x:row r="45">
      <x:c r="A45" s="186"/>
      <x:c r="B45" s="186"/>
      <x:c r="C45" s="186"/>
      <x:c r="D45" s="186"/>
      <x:c r="E45" s="186"/>
      <x:c r="F45" s="186"/>
      <x:c r="G45" s="186"/>
      <x:c r="H45" s="186"/>
      <x:c r="I45" s="186"/>
      <x:c r="J45" s="186"/>
      <x:c r="K45" s="186"/>
      <x:c r="L45" s="186"/>
      <x:c r="M45" s="186"/>
      <x:c r="N45" s="186"/>
      <x:c r="O45" s="186"/>
      <x:c r="P45" s="186"/>
      <x:c r="Q45" s="186"/>
      <x:c r="R45" s="186"/>
      <x:c r="S45" s="186"/>
      <x:c r="T45" s="186"/>
      <x:c r="U45" s="186"/>
      <x:c r="V45" s="186"/>
      <x:c r="W45" s="186"/>
      <x:c r="X45" s="186"/>
      <x:c r="Y45" s="186"/>
      <x:c r="Z45" s="186"/>
    </x:row>
    <x:row r="46">
      <x:c r="A46" s="186"/>
      <x:c r="B46" s="186"/>
      <x:c r="C46" s="186"/>
      <x:c r="D46" s="186"/>
      <x:c r="E46" s="186"/>
      <x:c r="F46" s="186"/>
      <x:c r="G46" s="186"/>
      <x:c r="H46" s="186"/>
      <x:c r="I46" s="186"/>
      <x:c r="J46" s="186"/>
      <x:c r="K46" s="186"/>
      <x:c r="L46" s="186"/>
      <x:c r="M46" s="186"/>
      <x:c r="N46" s="186"/>
      <x:c r="O46" s="186"/>
      <x:c r="P46" s="186"/>
      <x:c r="Q46" s="186"/>
      <x:c r="R46" s="186"/>
      <x:c r="S46" s="186"/>
      <x:c r="T46" s="186"/>
      <x:c r="U46" s="186"/>
      <x:c r="V46" s="186"/>
      <x:c r="W46" s="186"/>
      <x:c r="X46" s="186"/>
      <x:c r="Y46" s="186"/>
      <x:c r="Z46" s="186"/>
    </x:row>
    <x:row r="47">
      <x:c r="A47" s="186"/>
      <x:c r="B47" s="186"/>
      <x:c r="C47" s="186"/>
      <x:c r="D47" s="186"/>
      <x:c r="E47" s="186"/>
      <x:c r="F47" s="186"/>
      <x:c r="G47" s="186"/>
      <x:c r="H47" s="186"/>
      <x:c r="I47" s="186"/>
      <x:c r="J47" s="186"/>
      <x:c r="K47" s="186"/>
      <x:c r="L47" s="186"/>
      <x:c r="M47" s="186"/>
      <x:c r="N47" s="186"/>
      <x:c r="O47" s="186"/>
      <x:c r="P47" s="186"/>
      <x:c r="Q47" s="186"/>
      <x:c r="R47" s="186"/>
      <x:c r="S47" s="186"/>
      <x:c r="T47" s="186"/>
      <x:c r="U47" s="186"/>
      <x:c r="V47" s="186"/>
      <x:c r="W47" s="186"/>
      <x:c r="X47" s="186"/>
      <x:c r="Y47" s="186"/>
      <x:c r="Z47" s="186"/>
    </x:row>
    <x:row r="48">
      <x:c r="A48" s="186"/>
      <x:c r="B48" s="186"/>
      <x:c r="C48" s="186"/>
      <x:c r="D48" s="186"/>
      <x:c r="E48" s="186"/>
      <x:c r="F48" s="186"/>
      <x:c r="G48" s="186"/>
      <x:c r="H48" s="186"/>
      <x:c r="I48" s="186"/>
      <x:c r="J48" s="186"/>
      <x:c r="K48" s="186"/>
      <x:c r="L48" s="186"/>
      <x:c r="M48" s="186"/>
      <x:c r="N48" s="186"/>
      <x:c r="O48" s="186"/>
      <x:c r="P48" s="186"/>
      <x:c r="Q48" s="186"/>
      <x:c r="R48" s="186"/>
      <x:c r="S48" s="186"/>
      <x:c r="T48" s="186"/>
      <x:c r="U48" s="186"/>
      <x:c r="V48" s="186"/>
      <x:c r="W48" s="186"/>
      <x:c r="X48" s="186"/>
      <x:c r="Y48" s="186"/>
      <x:c r="Z48" s="186"/>
    </x:row>
    <x:row r="49">
      <x:c r="A49" s="186"/>
      <x:c r="B49" s="186"/>
      <x:c r="C49" s="186"/>
      <x:c r="D49" s="186"/>
      <x:c r="E49" s="186"/>
      <x:c r="F49" s="186"/>
      <x:c r="G49" s="186"/>
      <x:c r="H49" s="186"/>
      <x:c r="I49" s="186"/>
      <x:c r="J49" s="186"/>
      <x:c r="K49" s="186"/>
      <x:c r="L49" s="186"/>
      <x:c r="M49" s="186"/>
      <x:c r="N49" s="186"/>
      <x:c r="O49" s="186"/>
      <x:c r="P49" s="186"/>
      <x:c r="Q49" s="186"/>
      <x:c r="R49" s="186"/>
      <x:c r="S49" s="186"/>
      <x:c r="T49" s="186"/>
      <x:c r="U49" s="186"/>
      <x:c r="V49" s="186"/>
      <x:c r="W49" s="186"/>
      <x:c r="X49" s="186"/>
      <x:c r="Y49" s="186"/>
      <x:c r="Z49" s="186"/>
    </x:row>
    <x:row r="50">
      <x:c r="A50" s="186"/>
      <x:c r="B50" s="186"/>
      <x:c r="C50" s="186"/>
      <x:c r="D50" s="186"/>
      <x:c r="E50" s="186"/>
      <x:c r="F50" s="186"/>
      <x:c r="G50" s="186"/>
      <x:c r="H50" s="186"/>
      <x:c r="I50" s="186"/>
      <x:c r="J50" s="186"/>
      <x:c r="K50" s="186"/>
      <x:c r="L50" s="186"/>
      <x:c r="M50" s="186"/>
      <x:c r="N50" s="186"/>
      <x:c r="O50" s="186"/>
      <x:c r="P50" s="186"/>
      <x:c r="Q50" s="186"/>
      <x:c r="R50" s="186"/>
      <x:c r="S50" s="186"/>
      <x:c r="T50" s="186"/>
      <x:c r="U50" s="186"/>
      <x:c r="V50" s="186"/>
      <x:c r="W50" s="186"/>
      <x:c r="X50" s="186"/>
      <x:c r="Y50" s="186"/>
      <x:c r="Z50" s="186"/>
    </x:row>
  </x:sheetData>
  <x:mergeCells>
    <x:mergeCell ref="A1:S1"/>
  </x:mergeCells>
  <x:conditionalFormatting sqref="P4:R15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S4:S15">
    <x:cfRule type="expression" dxfId="0" priority="2">
      <x:formula>S4="Tier 1"</x:formula>
    </x:cfRule>
    <x:cfRule type="expression" dxfId="1" priority="3">
      <x:formula>S4="Tier 3"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5" t="str">
        <x:v>AetherGrid Systems — Historical Financials &amp; Base-Case Forecast</x:v>
      </x:c>
      <x:c r="B1" s="5"/>
      <x:c r="C1" s="5"/>
      <x:c r="D1" s="5"/>
      <x:c r="E1" s="5"/>
      <x:c r="F1" s="5"/>
      <x:c r="G1" s="5"/>
      <x:c r="H1" s="186"/>
      <x:c r="I1" s="186"/>
      <x:c r="J1" s="186"/>
      <x:c r="K1" s="186"/>
      <x:c r="L1" s="186"/>
      <x:c r="M1" s="186"/>
      <x:c r="N1" s="186"/>
      <x:c r="O1" s="186"/>
      <x:c r="P1" s="186"/>
      <x:c r="Q1" s="186"/>
      <x:c r="R1" s="186"/>
      <x:c r="S1" s="186"/>
      <x:c r="T1" s="186"/>
      <x:c r="U1" s="186"/>
      <x:c r="V1" s="186"/>
      <x:c r="W1" s="186"/>
      <x:c r="X1" s="186"/>
      <x:c r="Y1" s="186"/>
      <x:c r="Z1" s="186"/>
    </x:row>
    <x:row r="2">
      <x:c r="A2" s="186"/>
      <x:c r="B2" s="186"/>
      <x:c r="C2" s="186"/>
      <x:c r="D2" s="186"/>
      <x:c r="E2" s="186"/>
      <x:c r="F2" s="186"/>
      <x:c r="G2" s="186"/>
      <x:c r="H2" s="186"/>
      <x:c r="I2" s="186"/>
      <x:c r="J2" s="186"/>
      <x:c r="K2" s="186"/>
      <x:c r="L2" s="186"/>
      <x:c r="M2" s="186"/>
      <x:c r="N2" s="186"/>
      <x:c r="O2" s="186"/>
      <x:c r="P2" s="186"/>
      <x:c r="Q2" s="186"/>
      <x:c r="R2" s="186"/>
      <x:c r="S2" s="186"/>
      <x:c r="T2" s="186"/>
      <x:c r="U2" s="186"/>
      <x:c r="V2" s="186"/>
      <x:c r="W2" s="186"/>
      <x:c r="X2" s="186"/>
      <x:c r="Y2" s="186"/>
      <x:c r="Z2" s="186"/>
    </x:row>
    <x:row r="3">
      <x:c r="A3" s="11" t="str">
        <x:v>$MM except ratios</x:v>
      </x:c>
      <x:c r="B3" s="11" t="str">
        <x:v>2023A</x:v>
      </x:c>
      <x:c r="C3" s="11" t="str">
        <x:v>2024A</x:v>
      </x:c>
      <x:c r="D3" s="11" t="str">
        <x:v>2025A</x:v>
      </x:c>
      <x:c r="E3" s="11" t="str">
        <x:v>2026E</x:v>
      </x:c>
      <x:c r="F3" s="11" t="str">
        <x:v>2027E</x:v>
      </x:c>
      <x:c r="G3" s="11" t="str">
        <x:v>2028E</x:v>
      </x:c>
      <x:c r="H3" s="186"/>
      <x:c r="I3" s="186"/>
      <x:c r="J3" s="186"/>
      <x:c r="K3" s="186"/>
      <x:c r="L3" s="186"/>
      <x:c r="M3" s="186"/>
      <x:c r="N3" s="186"/>
      <x:c r="O3" s="186"/>
      <x:c r="P3" s="186"/>
      <x:c r="Q3" s="186"/>
      <x:c r="R3" s="186"/>
      <x:c r="S3" s="186"/>
      <x:c r="T3" s="186"/>
      <x:c r="U3" s="186"/>
      <x:c r="V3" s="186"/>
      <x:c r="W3" s="186"/>
      <x:c r="X3" s="186"/>
      <x:c r="Y3" s="186"/>
      <x:c r="Z3" s="186"/>
    </x:row>
    <x:row r="4">
      <x:c r="A4" s="186" t="str">
        <x:v>Revenue Growth</x:v>
      </x:c>
      <x:c r="B4" s="198"/>
      <x:c r="C4" s="198" t="n">
        <x:v>0.21111111111111103</x:v>
      </x:c>
      <x:c r="D4" s="198" t="n">
        <x:v>0.16972477064220182</x:v>
      </x:c>
      <x:c r="E4" s="198" t="n">
        <x:v>0.176</x:v>
      </x:c>
      <x:c r="F4" s="198" t="n">
        <x:v>0.16</x:v>
      </x:c>
      <x:c r="G4" s="198" t="n">
        <x:v>0.141</x:v>
      </x:c>
      <x:c r="H4" s="186"/>
      <x:c r="I4" s="186"/>
      <x:c r="J4" s="186"/>
      <x:c r="K4" s="186"/>
      <x:c r="L4" s="186"/>
      <x:c r="M4" s="186"/>
      <x:c r="N4" s="186"/>
      <x:c r="O4" s="186"/>
      <x:c r="P4" s="186"/>
      <x:c r="Q4" s="186"/>
      <x:c r="R4" s="186"/>
      <x:c r="S4" s="186"/>
      <x:c r="T4" s="186"/>
      <x:c r="U4" s="186"/>
      <x:c r="V4" s="186"/>
      <x:c r="W4" s="186"/>
      <x:c r="X4" s="186"/>
      <x:c r="Y4" s="186"/>
      <x:c r="Z4" s="186"/>
    </x:row>
    <x:row r="5">
      <x:c r="A5" s="212" t="str">
        <x:v>Revenue</x:v>
      </x:c>
      <x:c r="B5" s="213" t="n">
        <x:v>180</x:v>
      </x:c>
      <x:c r="C5" s="213" t="n">
        <x:v>218</x:v>
      </x:c>
      <x:c r="D5" s="213" t="n">
        <x:v>255</x:v>
      </x:c>
      <x:c r="E5" s="214" t="n">
        <x:f>D5*(1+E4)</x:f>
        <x:v>299.88</x:v>
      </x:c>
      <x:c r="F5" s="214" t="n">
        <x:f>E5*(1+F4)</x:f>
        <x:v>347.8608</x:v>
      </x:c>
      <x:c r="G5" s="214" t="n">
        <x:f>F5*(1+G4)</x:f>
        <x:v>396.90917279999996</x:v>
      </x:c>
      <x:c r="H5" s="186"/>
      <x:c r="I5" s="186"/>
      <x:c r="J5" s="186"/>
      <x:c r="K5" s="186"/>
      <x:c r="L5" s="186"/>
      <x:c r="M5" s="186"/>
      <x:c r="N5" s="186"/>
      <x:c r="O5" s="186"/>
      <x:c r="P5" s="186"/>
      <x:c r="Q5" s="186"/>
      <x:c r="R5" s="186"/>
      <x:c r="S5" s="186"/>
      <x:c r="T5" s="186"/>
      <x:c r="U5" s="186"/>
      <x:c r="V5" s="186"/>
      <x:c r="W5" s="186"/>
      <x:c r="X5" s="186"/>
      <x:c r="Y5" s="186"/>
      <x:c r="Z5" s="186"/>
    </x:row>
    <x:row r="6">
      <x:c r="A6" s="186" t="str">
        <x:v>COGS</x:v>
      </x:c>
      <x:c r="B6" s="197" t="n">
        <x:v>47</x:v>
      </x:c>
      <x:c r="C6" s="197" t="n">
        <x:v>56</x:v>
      </x:c>
      <x:c r="D6" s="197" t="n">
        <x:v>64</x:v>
      </x:c>
      <x:c r="E6" s="215" t="n">
        <x:f>E5*0.243</x:f>
        <x:v>72.87084</x:v>
      </x:c>
      <x:c r="F6" s="215" t="n">
        <x:f>F5*0.236</x:f>
        <x:v>82.09514879999999</x:v>
      </x:c>
      <x:c r="G6" s="215" t="n">
        <x:f>G5*0.229</x:f>
        <x:v>90.8922005712</x:v>
      </x:c>
      <x:c r="H6" s="186"/>
      <x:c r="I6" s="186"/>
      <x:c r="J6" s="186"/>
      <x:c r="K6" s="186"/>
      <x:c r="L6" s="186"/>
      <x:c r="M6" s="186"/>
      <x:c r="N6" s="186"/>
      <x:c r="O6" s="186"/>
      <x:c r="P6" s="186"/>
      <x:c r="Q6" s="186"/>
      <x:c r="R6" s="186"/>
      <x:c r="S6" s="186"/>
      <x:c r="T6" s="186"/>
      <x:c r="U6" s="186"/>
      <x:c r="V6" s="186"/>
      <x:c r="W6" s="186"/>
      <x:c r="X6" s="186"/>
      <x:c r="Y6" s="186"/>
      <x:c r="Z6" s="186"/>
    </x:row>
    <x:row r="7">
      <x:c r="A7" s="212" t="str">
        <x:v>Gross Profit</x:v>
      </x:c>
      <x:c r="B7" s="213" t="n">
        <x:v>133</x:v>
      </x:c>
      <x:c r="C7" s="213" t="n">
        <x:v>162</x:v>
      </x:c>
      <x:c r="D7" s="213" t="n">
        <x:v>191</x:v>
      </x:c>
      <x:c r="E7" s="214" t="n">
        <x:f>E5-E6</x:f>
        <x:v>227.00916</x:v>
      </x:c>
      <x:c r="F7" s="214" t="n">
        <x:f>F5-F6</x:f>
        <x:v>265.7656512</x:v>
      </x:c>
      <x:c r="G7" s="214" t="n">
        <x:f>G5-G6</x:f>
        <x:v>306.0169722288</x:v>
      </x:c>
      <x:c r="H7" s="186"/>
      <x:c r="I7" s="186"/>
      <x:c r="J7" s="186"/>
      <x:c r="K7" s="186"/>
      <x:c r="L7" s="186"/>
      <x:c r="M7" s="186"/>
      <x:c r="N7" s="186"/>
      <x:c r="O7" s="186"/>
      <x:c r="P7" s="186"/>
      <x:c r="Q7" s="186"/>
      <x:c r="R7" s="186"/>
      <x:c r="S7" s="186"/>
      <x:c r="T7" s="186"/>
      <x:c r="U7" s="186"/>
      <x:c r="V7" s="186"/>
      <x:c r="W7" s="186"/>
      <x:c r="X7" s="186"/>
      <x:c r="Y7" s="186"/>
      <x:c r="Z7" s="186"/>
    </x:row>
    <x:row r="8">
      <x:c r="A8" s="186" t="str">
        <x:v>Gross Margin</x:v>
      </x:c>
      <x:c r="B8" s="198" t="n">
        <x:v>0.7388888888888889</x:v>
      </x:c>
      <x:c r="C8" s="198" t="n">
        <x:v>0.7431192660550459</x:v>
      </x:c>
      <x:c r="D8" s="198" t="n">
        <x:v>0.7490196078431373</x:v>
      </x:c>
      <x:c r="E8" s="200" t="n">
        <x:f>E7/E5</x:f>
        <x:v>0.757</x:v>
      </x:c>
      <x:c r="F8" s="200" t="n">
        <x:f>F7/F5</x:f>
        <x:v>0.764</x:v>
      </x:c>
      <x:c r="G8" s="200" t="n">
        <x:f>G7/G5</x:f>
        <x:v>0.771</x:v>
      </x:c>
      <x:c r="H8" s="186"/>
      <x:c r="I8" s="186"/>
      <x:c r="J8" s="186"/>
      <x:c r="K8" s="186"/>
      <x:c r="L8" s="186"/>
      <x:c r="M8" s="186"/>
      <x:c r="N8" s="186"/>
      <x:c r="O8" s="186"/>
      <x:c r="P8" s="186"/>
      <x:c r="Q8" s="186"/>
      <x:c r="R8" s="186"/>
      <x:c r="S8" s="186"/>
      <x:c r="T8" s="186"/>
      <x:c r="U8" s="186"/>
      <x:c r="V8" s="186"/>
      <x:c r="W8" s="186"/>
      <x:c r="X8" s="186"/>
      <x:c r="Y8" s="186"/>
      <x:c r="Z8" s="186"/>
    </x:row>
    <x:row r="9">
      <x:c r="A9" s="186" t="str">
        <x:v>R&amp;D</x:v>
      </x:c>
      <x:c r="B9" s="197" t="n">
        <x:v>42</x:v>
      </x:c>
      <x:c r="C9" s="197" t="n">
        <x:v>47</x:v>
      </x:c>
      <x:c r="D9" s="197" t="n">
        <x:v>53</x:v>
      </x:c>
      <x:c r="E9" s="215" t="n">
        <x:f>E5*0.197</x:f>
        <x:v>59.07636</x:v>
      </x:c>
      <x:c r="F9" s="215" t="n">
        <x:f>F5*0.187</x:f>
        <x:v>65.0499696</x:v>
      </x:c>
      <x:c r="G9" s="215" t="n">
        <x:f>G5*0.176</x:f>
        <x:v>69.8560144128</x:v>
      </x:c>
      <x:c r="H9" s="186"/>
      <x:c r="I9" s="186"/>
      <x:c r="J9" s="186"/>
      <x:c r="K9" s="186"/>
      <x:c r="L9" s="186"/>
      <x:c r="M9" s="186"/>
      <x:c r="N9" s="186"/>
      <x:c r="O9" s="186"/>
      <x:c r="P9" s="186"/>
      <x:c r="Q9" s="186"/>
      <x:c r="R9" s="186"/>
      <x:c r="S9" s="186"/>
      <x:c r="T9" s="186"/>
      <x:c r="U9" s="186"/>
      <x:c r="V9" s="186"/>
      <x:c r="W9" s="186"/>
      <x:c r="X9" s="186"/>
      <x:c r="Y9" s="186"/>
      <x:c r="Z9" s="186"/>
    </x:row>
    <x:row r="10">
      <x:c r="A10" s="186" t="str">
        <x:v>Sales &amp; Marketing</x:v>
      </x:c>
      <x:c r="B10" s="197" t="n">
        <x:v>56</x:v>
      </x:c>
      <x:c r="C10" s="197" t="n">
        <x:v>65</x:v>
      </x:c>
      <x:c r="D10" s="197" t="n">
        <x:v>74</x:v>
      </x:c>
      <x:c r="E10" s="215" t="n">
        <x:f>E5*0.277</x:f>
        <x:v>83.06676</x:v>
      </x:c>
      <x:c r="F10" s="215" t="n">
        <x:f>F5*0.261</x:f>
        <x:v>90.7916688</x:v>
      </x:c>
      <x:c r="G10" s="215" t="n">
        <x:f>G5*0.252</x:f>
        <x:v>100.0211115456</x:v>
      </x:c>
      <x:c r="H10" s="186"/>
      <x:c r="I10" s="186"/>
      <x:c r="J10" s="186"/>
      <x:c r="K10" s="186"/>
      <x:c r="L10" s="186"/>
      <x:c r="M10" s="186"/>
      <x:c r="N10" s="186"/>
      <x:c r="O10" s="186"/>
      <x:c r="P10" s="186"/>
      <x:c r="Q10" s="186"/>
      <x:c r="R10" s="186"/>
      <x:c r="S10" s="186"/>
      <x:c r="T10" s="186"/>
      <x:c r="U10" s="186"/>
      <x:c r="V10" s="186"/>
      <x:c r="W10" s="186"/>
      <x:c r="X10" s="186"/>
      <x:c r="Y10" s="186"/>
      <x:c r="Z10" s="186"/>
    </x:row>
    <x:row r="11">
      <x:c r="A11" s="186" t="str">
        <x:v>G&amp;A</x:v>
      </x:c>
      <x:c r="B11" s="197" t="n">
        <x:v>25</x:v>
      </x:c>
      <x:c r="C11" s="197" t="n">
        <x:v>28</x:v>
      </x:c>
      <x:c r="D11" s="197" t="n">
        <x:v>31</x:v>
      </x:c>
      <x:c r="E11" s="215" t="n">
        <x:f>E5-E6-E9-E10-E12</x:f>
        <x:v>39.88404000000001</x:v>
      </x:c>
      <x:c r="F11" s="215" t="n">
        <x:f>F5-F6-F9-F10-F12</x:f>
        <x:v>50.787676799999986</x:v>
      </x:c>
      <x:c r="G11" s="215" t="n">
        <x:f>G5-G6-G9-G10-G12</x:f>
        <x:v>63.10855847520004</x:v>
      </x:c>
      <x:c r="H11" s="186"/>
      <x:c r="I11" s="186"/>
      <x:c r="J11" s="186"/>
      <x:c r="K11" s="186"/>
      <x:c r="L11" s="186"/>
      <x:c r="M11" s="186"/>
      <x:c r="N11" s="186"/>
      <x:c r="O11" s="186"/>
      <x:c r="P11" s="186"/>
      <x:c r="Q11" s="186"/>
      <x:c r="R11" s="186"/>
      <x:c r="S11" s="186"/>
      <x:c r="T11" s="186"/>
      <x:c r="U11" s="186"/>
      <x:c r="V11" s="186"/>
      <x:c r="W11" s="186"/>
      <x:c r="X11" s="186"/>
      <x:c r="Y11" s="186"/>
      <x:c r="Z11" s="186"/>
    </x:row>
    <x:row r="12">
      <x:c r="A12" s="212" t="str">
        <x:v>EBITDA</x:v>
      </x:c>
      <x:c r="B12" s="213" t="n">
        <x:v>10</x:v>
      </x:c>
      <x:c r="C12" s="213" t="n">
        <x:v>22</x:v>
      </x:c>
      <x:c r="D12" s="213" t="n">
        <x:v>33</x:v>
      </x:c>
      <x:c r="E12" s="214" t="n">
        <x:f>E5*0.15</x:f>
        <x:v>44.982</x:v>
      </x:c>
      <x:c r="F12" s="214" t="n">
        <x:f>F5*0.17</x:f>
        <x:v>59.136336</x:v>
      </x:c>
      <x:c r="G12" s="214" t="n">
        <x:f>G5*0.184</x:f>
        <x:v>73.03128779519999</x:v>
      </x:c>
      <x:c r="H12" s="186"/>
      <x:c r="I12" s="186"/>
      <x:c r="J12" s="186"/>
      <x:c r="K12" s="186"/>
      <x:c r="L12" s="186"/>
      <x:c r="M12" s="186"/>
      <x:c r="N12" s="186"/>
      <x:c r="O12" s="186"/>
      <x:c r="P12" s="186"/>
      <x:c r="Q12" s="186"/>
      <x:c r="R12" s="186"/>
      <x:c r="S12" s="186"/>
      <x:c r="T12" s="186"/>
      <x:c r="U12" s="186"/>
      <x:c r="V12" s="186"/>
      <x:c r="W12" s="186"/>
      <x:c r="X12" s="186"/>
      <x:c r="Y12" s="186"/>
      <x:c r="Z12" s="186"/>
    </x:row>
    <x:row r="13">
      <x:c r="A13" s="186" t="str">
        <x:v>EBITDA Margin</x:v>
      </x:c>
      <x:c r="B13" s="198" t="n">
        <x:v>0.05555555555555555</x:v>
      </x:c>
      <x:c r="C13" s="198" t="n">
        <x:v>0.10091743119266056</x:v>
      </x:c>
      <x:c r="D13" s="198" t="n">
        <x:v>0.12941176470588237</x:v>
      </x:c>
      <x:c r="E13" s="200" t="n">
        <x:f>E12/E5</x:f>
        <x:v>0.15</x:v>
      </x:c>
      <x:c r="F13" s="200" t="n">
        <x:f>F12/F5</x:f>
        <x:v>0.17</x:v>
      </x:c>
      <x:c r="G13" s="200" t="n">
        <x:f>G12/G5</x:f>
        <x:v>0.18399999999999997</x:v>
      </x:c>
      <x:c r="H13" s="186"/>
      <x:c r="I13" s="186"/>
      <x:c r="J13" s="186"/>
      <x:c r="K13" s="186"/>
      <x:c r="L13" s="186"/>
      <x:c r="M13" s="186"/>
      <x:c r="N13" s="186"/>
      <x:c r="O13" s="186"/>
      <x:c r="P13" s="186"/>
      <x:c r="Q13" s="186"/>
      <x:c r="R13" s="186"/>
      <x:c r="S13" s="186"/>
      <x:c r="T13" s="186"/>
      <x:c r="U13" s="186"/>
      <x:c r="V13" s="186"/>
      <x:c r="W13" s="186"/>
      <x:c r="X13" s="186"/>
      <x:c r="Y13" s="186"/>
      <x:c r="Z13" s="186"/>
    </x:row>
    <x:row r="14">
      <x:c r="A14" s="186" t="str">
        <x:v>D&amp;A</x:v>
      </x:c>
      <x:c r="B14" s="197" t="n">
        <x:v>8</x:v>
      </x:c>
      <x:c r="C14" s="197" t="n">
        <x:v>10</x:v>
      </x:c>
      <x:c r="D14" s="197" t="n">
        <x:v>12</x:v>
      </x:c>
      <x:c r="E14" s="215" t="n">
        <x:f>E5*0.047</x:f>
        <x:v>14.09436</x:v>
      </x:c>
      <x:c r="F14" s="215" t="n">
        <x:f>F5*0.046</x:f>
        <x:v>16.001596799999998</x:v>
      </x:c>
      <x:c r="G14" s="215" t="n">
        <x:f>G5*0.045</x:f>
        <x:v>17.860912776</x:v>
      </x:c>
      <x:c r="H14" s="186"/>
      <x:c r="I14" s="186"/>
      <x:c r="J14" s="186"/>
      <x:c r="K14" s="186"/>
      <x:c r="L14" s="186"/>
      <x:c r="M14" s="186"/>
      <x:c r="N14" s="186"/>
      <x:c r="O14" s="186"/>
      <x:c r="P14" s="186"/>
      <x:c r="Q14" s="186"/>
      <x:c r="R14" s="186"/>
      <x:c r="S14" s="186"/>
      <x:c r="T14" s="186"/>
      <x:c r="U14" s="186"/>
      <x:c r="V14" s="186"/>
      <x:c r="W14" s="186"/>
      <x:c r="X14" s="186"/>
      <x:c r="Y14" s="186"/>
      <x:c r="Z14" s="186"/>
    </x:row>
    <x:row r="15">
      <x:c r="A15" s="186" t="str">
        <x:v>Interest Expense</x:v>
      </x:c>
      <x:c r="B15" s="197" t="n">
        <x:v>8</x:v>
      </x:c>
      <x:c r="C15" s="197" t="n">
        <x:v>7</x:v>
      </x:c>
      <x:c r="D15" s="197" t="n">
        <x:v>6</x:v>
      </x:c>
      <x:c r="E15" s="215" t="n">
        <x:f>D25*(Assumptions!$B$6+Assumptions!$B$7)</x:f>
        <x:v>4.72</x:v>
      </x:c>
      <x:c r="F15" s="215" t="n">
        <x:f>E25*(Assumptions!$B$6+Assumptions!$B$7)</x:f>
        <x:v>4.425</x:v>
      </x:c>
      <x:c r="G15" s="215" t="n">
        <x:f>F25*(Assumptions!$B$6+Assumptions!$B$7)</x:f>
        <x:v>4.012</x:v>
      </x:c>
      <x:c r="H15" s="186"/>
      <x:c r="I15" s="186"/>
      <x:c r="J15" s="186"/>
      <x:c r="K15" s="186"/>
      <x:c r="L15" s="186"/>
      <x:c r="M15" s="186"/>
      <x:c r="N15" s="186"/>
      <x:c r="O15" s="186"/>
      <x:c r="P15" s="186"/>
      <x:c r="Q15" s="186"/>
      <x:c r="R15" s="186"/>
      <x:c r="S15" s="186"/>
      <x:c r="T15" s="186"/>
      <x:c r="U15" s="186"/>
      <x:c r="V15" s="186"/>
      <x:c r="W15" s="186"/>
      <x:c r="X15" s="186"/>
      <x:c r="Y15" s="186"/>
      <x:c r="Z15" s="186"/>
    </x:row>
    <x:row r="16">
      <x:c r="A16" s="186" t="str">
        <x:v>Pre-Tax Income</x:v>
      </x:c>
      <x:c r="B16" s="197" t="n">
        <x:v>-6</x:v>
      </x:c>
      <x:c r="C16" s="197" t="n">
        <x:v>5</x:v>
      </x:c>
      <x:c r="D16" s="197" t="n">
        <x:v>15</x:v>
      </x:c>
      <x:c r="E16" s="215" t="n">
        <x:f>E12-E14-E15</x:f>
        <x:v>26.16764</x:v>
      </x:c>
      <x:c r="F16" s="215" t="n">
        <x:f>F12-F14-F15</x:f>
        <x:v>38.7097392</x:v>
      </x:c>
      <x:c r="G16" s="215" t="n">
        <x:f>G12-G14-G15</x:f>
        <x:v>51.15837501919999</x:v>
      </x:c>
      <x:c r="H16" s="186"/>
      <x:c r="I16" s="186"/>
      <x:c r="J16" s="186"/>
      <x:c r="K16" s="186"/>
      <x:c r="L16" s="186"/>
      <x:c r="M16" s="186"/>
      <x:c r="N16" s="186"/>
      <x:c r="O16" s="186"/>
      <x:c r="P16" s="186"/>
      <x:c r="Q16" s="186"/>
      <x:c r="R16" s="186"/>
      <x:c r="S16" s="186"/>
      <x:c r="T16" s="186"/>
      <x:c r="U16" s="186"/>
      <x:c r="V16" s="186"/>
      <x:c r="W16" s="186"/>
      <x:c r="X16" s="186"/>
      <x:c r="Y16" s="186"/>
      <x:c r="Z16" s="186"/>
    </x:row>
    <x:row r="17">
      <x:c r="A17" s="186" t="str">
        <x:v>Cash Taxes</x:v>
      </x:c>
      <x:c r="B17" s="197" t="n">
        <x:v>0</x:v>
      </x:c>
      <x:c r="C17" s="197" t="n">
        <x:v>1.25</x:v>
      </x:c>
      <x:c r="D17" s="197" t="n">
        <x:v>3.75</x:v>
      </x:c>
      <x:c r="E17" s="215" t="n">
        <x:f>MAX(0,E16*Assumptions!$B$10)</x:f>
        <x:v>6.54191</x:v>
      </x:c>
      <x:c r="F17" s="215" t="n">
        <x:f>MAX(0,F16*Assumptions!$B$10)</x:f>
        <x:v>9.6774348</x:v>
      </x:c>
      <x:c r="G17" s="215" t="n">
        <x:f>MAX(0,G16*Assumptions!$B$10)</x:f>
        <x:v>12.789593754799997</x:v>
      </x:c>
      <x:c r="H17" s="186"/>
      <x:c r="I17" s="186"/>
      <x:c r="J17" s="186"/>
      <x:c r="K17" s="186"/>
      <x:c r="L17" s="186"/>
      <x:c r="M17" s="186"/>
      <x:c r="N17" s="186"/>
      <x:c r="O17" s="186"/>
      <x:c r="P17" s="186"/>
      <x:c r="Q17" s="186"/>
      <x:c r="R17" s="186"/>
      <x:c r="S17" s="186"/>
      <x:c r="T17" s="186"/>
      <x:c r="U17" s="186"/>
      <x:c r="V17" s="186"/>
      <x:c r="W17" s="186"/>
      <x:c r="X17" s="186"/>
      <x:c r="Y17" s="186"/>
      <x:c r="Z17" s="186"/>
    </x:row>
    <x:row r="18">
      <x:c r="A18" s="186" t="str">
        <x:v>Net Income</x:v>
      </x:c>
      <x:c r="B18" s="197" t="n">
        <x:v>-6</x:v>
      </x:c>
      <x:c r="C18" s="197" t="n">
        <x:v>3.75</x:v>
      </x:c>
      <x:c r="D18" s="197" t="n">
        <x:v>11.25</x:v>
      </x:c>
      <x:c r="E18" s="215" t="n">
        <x:f>E16-E17</x:f>
        <x:v>19.625729999999997</x:v>
      </x:c>
      <x:c r="F18" s="215" t="n">
        <x:f>F16-F17</x:f>
        <x:v>29.0323044</x:v>
      </x:c>
      <x:c r="G18" s="215" t="n">
        <x:f>G16-G17</x:f>
        <x:v>38.36878126439999</x:v>
      </x:c>
      <x:c r="H18" s="186"/>
      <x:c r="I18" s="186"/>
      <x:c r="J18" s="186"/>
      <x:c r="K18" s="186"/>
      <x:c r="L18" s="186"/>
      <x:c r="M18" s="186"/>
      <x:c r="N18" s="186"/>
      <x:c r="O18" s="186"/>
      <x:c r="P18" s="186"/>
      <x:c r="Q18" s="186"/>
      <x:c r="R18" s="186"/>
      <x:c r="S18" s="186"/>
      <x:c r="T18" s="186"/>
      <x:c r="U18" s="186"/>
      <x:c r="V18" s="186"/>
      <x:c r="W18" s="186"/>
      <x:c r="X18" s="186"/>
      <x:c r="Y18" s="186"/>
      <x:c r="Z18" s="186"/>
    </x:row>
    <x:row r="19">
      <x:c r="A19" s="186" t="str">
        <x:v>Change in NWC</x:v>
      </x:c>
      <x:c r="B19" s="197" t="n">
        <x:v>6</x:v>
      </x:c>
      <x:c r="C19" s="197" t="n">
        <x:v>7</x:v>
      </x:c>
      <x:c r="D19" s="197" t="n">
        <x:v>9</x:v>
      </x:c>
      <x:c r="E19" s="215" t="n">
        <x:f>(E5-D5)*0.03</x:f>
        <x:v>1.3463999999999998</x:v>
      </x:c>
      <x:c r="F19" s="215" t="n">
        <x:f>(F5-E5)*0.03</x:f>
        <x:v>1.4394239999999996</x:v>
      </x:c>
      <x:c r="G19" s="215" t="n">
        <x:f>(G5-F5)*0.03</x:f>
        <x:v>1.4714511839999993</x:v>
      </x:c>
      <x:c r="H19" s="186"/>
      <x:c r="I19" s="186"/>
      <x:c r="J19" s="186"/>
      <x:c r="K19" s="186"/>
      <x:c r="L19" s="186"/>
      <x:c r="M19" s="186"/>
      <x:c r="N19" s="186"/>
      <x:c r="O19" s="186"/>
      <x:c r="P19" s="186"/>
      <x:c r="Q19" s="186"/>
      <x:c r="R19" s="186"/>
      <x:c r="S19" s="186"/>
      <x:c r="T19" s="186"/>
      <x:c r="U19" s="186"/>
      <x:c r="V19" s="186"/>
      <x:c r="W19" s="186"/>
      <x:c r="X19" s="186"/>
      <x:c r="Y19" s="186"/>
      <x:c r="Z19" s="186"/>
    </x:row>
    <x:row r="20">
      <x:c r="A20" s="212" t="str">
        <x:v>Cash Flow from Operations</x:v>
      </x:c>
      <x:c r="B20" s="213" t="n">
        <x:v>12</x:v>
      </x:c>
      <x:c r="C20" s="213" t="n">
        <x:v>23.75</x:v>
      </x:c>
      <x:c r="D20" s="213" t="n">
        <x:v>32.25</x:v>
      </x:c>
      <x:c r="E20" s="214" t="n">
        <x:f>E12+E14-E19-E17</x:f>
        <x:v>51.18805</x:v>
      </x:c>
      <x:c r="F20" s="214" t="n">
        <x:f>F12+F14-F19-F17</x:f>
        <x:v>64.021074</x:v>
      </x:c>
      <x:c r="G20" s="214" t="n">
        <x:f>G12+G14-G19-G17</x:f>
        <x:v>76.6311556324</x:v>
      </x:c>
      <x:c r="H20" s="186"/>
      <x:c r="I20" s="186"/>
      <x:c r="J20" s="186"/>
      <x:c r="K20" s="186"/>
      <x:c r="L20" s="186"/>
      <x:c r="M20" s="186"/>
      <x:c r="N20" s="186"/>
      <x:c r="O20" s="186"/>
      <x:c r="P20" s="186"/>
      <x:c r="Q20" s="186"/>
      <x:c r="R20" s="186"/>
      <x:c r="S20" s="186"/>
      <x:c r="T20" s="186"/>
      <x:c r="U20" s="186"/>
      <x:c r="V20" s="186"/>
      <x:c r="W20" s="186"/>
      <x:c r="X20" s="186"/>
      <x:c r="Y20" s="186"/>
      <x:c r="Z20" s="186"/>
    </x:row>
    <x:row r="21">
      <x:c r="A21" s="186" t="str">
        <x:v>Capex</x:v>
      </x:c>
      <x:c r="B21" s="197" t="n">
        <x:v>9</x:v>
      </x:c>
      <x:c r="C21" s="197" t="n">
        <x:v>11</x:v>
      </x:c>
      <x:c r="D21" s="197" t="n">
        <x:v>13</x:v>
      </x:c>
      <x:c r="E21" s="215" t="n">
        <x:f>E5*Assumptions!$B$11</x:f>
        <x:v>14.994</x:v>
      </x:c>
      <x:c r="F21" s="215" t="n">
        <x:f>F5*Assumptions!$B$11</x:f>
        <x:v>17.39304</x:v>
      </x:c>
      <x:c r="G21" s="215" t="n">
        <x:f>G5*Assumptions!$B$11</x:f>
        <x:v>19.84545864</x:v>
      </x:c>
      <x:c r="H21" s="186"/>
      <x:c r="I21" s="186"/>
      <x:c r="J21" s="186"/>
      <x:c r="K21" s="186"/>
      <x:c r="L21" s="186"/>
      <x:c r="M21" s="186"/>
      <x:c r="N21" s="186"/>
      <x:c r="O21" s="186"/>
      <x:c r="P21" s="186"/>
      <x:c r="Q21" s="186"/>
      <x:c r="R21" s="186"/>
      <x:c r="S21" s="186"/>
      <x:c r="T21" s="186"/>
      <x:c r="U21" s="186"/>
      <x:c r="V21" s="186"/>
      <x:c r="W21" s="186"/>
      <x:c r="X21" s="186"/>
      <x:c r="Y21" s="186"/>
      <x:c r="Z21" s="186"/>
    </x:row>
    <x:row r="22">
      <x:c r="A22" s="212" t="str">
        <x:v>Free Cash Flow</x:v>
      </x:c>
      <x:c r="B22" s="213" t="n">
        <x:v>3</x:v>
      </x:c>
      <x:c r="C22" s="213" t="n">
        <x:v>12.75</x:v>
      </x:c>
      <x:c r="D22" s="213" t="n">
        <x:v>19.25</x:v>
      </x:c>
      <x:c r="E22" s="214" t="n">
        <x:f>E20-E21</x:f>
        <x:v>36.19405</x:v>
      </x:c>
      <x:c r="F22" s="214" t="n">
        <x:f>F20-F21</x:f>
        <x:v>46.628034</x:v>
      </x:c>
      <x:c r="G22" s="214" t="n">
        <x:f>G20-G21</x:f>
        <x:v>56.78569699239999</x:v>
      </x:c>
      <x:c r="H22" s="186"/>
      <x:c r="I22" s="186"/>
      <x:c r="J22" s="186"/>
      <x:c r="K22" s="186"/>
      <x:c r="L22" s="186"/>
      <x:c r="M22" s="186"/>
      <x:c r="N22" s="186"/>
      <x:c r="O22" s="186"/>
      <x:c r="P22" s="186"/>
      <x:c r="Q22" s="186"/>
      <x:c r="R22" s="186"/>
      <x:c r="S22" s="186"/>
      <x:c r="T22" s="186"/>
      <x:c r="U22" s="186"/>
      <x:c r="V22" s="186"/>
      <x:c r="W22" s="186"/>
      <x:c r="X22" s="186"/>
      <x:c r="Y22" s="186"/>
      <x:c r="Z22" s="186"/>
    </x:row>
    <x:row r="23">
      <x:c r="A23" s="186" t="str">
        <x:v>FCF Margin</x:v>
      </x:c>
      <x:c r="B23" s="198" t="n">
        <x:v>0.016666666666666666</x:v>
      </x:c>
      <x:c r="C23" s="198" t="n">
        <x:v>0.058486238532110095</x:v>
      </x:c>
      <x:c r="D23" s="198" t="n">
        <x:v>0.07549019607843137</x:v>
      </x:c>
      <x:c r="E23" s="200" t="n">
        <x:f>E22/E5</x:f>
        <x:v>0.12069511137788448</x:v>
      </x:c>
      <x:c r="F23" s="200" t="n">
        <x:f>F22/F5</x:f>
        <x:v>0.13404222033641044</x:v>
      </x:c>
      <x:c r="G23" s="200" t="n">
        <x:f>G22/G5</x:f>
        <x:v>0.14306975218487566</x:v>
      </x:c>
      <x:c r="H23" s="186"/>
      <x:c r="I23" s="186"/>
      <x:c r="J23" s="186"/>
      <x:c r="K23" s="186"/>
      <x:c r="L23" s="186"/>
      <x:c r="M23" s="186"/>
      <x:c r="N23" s="186"/>
      <x:c r="O23" s="186"/>
      <x:c r="P23" s="186"/>
      <x:c r="Q23" s="186"/>
      <x:c r="R23" s="186"/>
      <x:c r="S23" s="186"/>
      <x:c r="T23" s="186"/>
      <x:c r="U23" s="186"/>
      <x:c r="V23" s="186"/>
      <x:c r="W23" s="186"/>
      <x:c r="X23" s="186"/>
      <x:c r="Y23" s="186"/>
      <x:c r="Z23" s="186"/>
    </x:row>
    <x:row r="24">
      <x:c r="A24" s="212" t="str">
        <x:v>Cash</x:v>
      </x:c>
      <x:c r="B24" s="213" t="n">
        <x:v>28</x:v>
      </x:c>
      <x:c r="C24" s="213" t="n">
        <x:v>32</x:v>
      </x:c>
      <x:c r="D24" s="213" t="n">
        <x:v>48</x:v>
      </x:c>
      <x:c r="E24" s="214" t="n">
        <x:f>D24+E22-E26</x:f>
        <x:v>79.19405</x:v>
      </x:c>
      <x:c r="F24" s="214" t="n">
        <x:f>E24+F22-F26</x:f>
        <x:v>118.822084</x:v>
      </x:c>
      <x:c r="G24" s="214" t="n">
        <x:f>F24+G22-G26</x:f>
        <x:v>167.6077809924</x:v>
      </x:c>
      <x:c r="H24" s="186"/>
      <x:c r="I24" s="186"/>
      <x:c r="J24" s="186"/>
      <x:c r="K24" s="186"/>
      <x:c r="L24" s="186"/>
      <x:c r="M24" s="186"/>
      <x:c r="N24" s="186"/>
      <x:c r="O24" s="186"/>
      <x:c r="P24" s="186"/>
      <x:c r="Q24" s="186"/>
      <x:c r="R24" s="186"/>
      <x:c r="S24" s="186"/>
      <x:c r="T24" s="186"/>
      <x:c r="U24" s="186"/>
      <x:c r="V24" s="186"/>
      <x:c r="W24" s="186"/>
      <x:c r="X24" s="186"/>
      <x:c r="Y24" s="186"/>
      <x:c r="Z24" s="186"/>
    </x:row>
    <x:row r="25">
      <x:c r="A25" s="212" t="str">
        <x:v>Debt</x:v>
      </x:c>
      <x:c r="B25" s="213" t="n">
        <x:v>100</x:v>
      </x:c>
      <x:c r="C25" s="213" t="n">
        <x:v>95</x:v>
      </x:c>
      <x:c r="D25" s="213" t="n">
        <x:v>80</x:v>
      </x:c>
      <x:c r="E25" s="214" t="n">
        <x:f>MAX(0,D25-E26)</x:f>
        <x:v>75</x:v>
      </x:c>
      <x:c r="F25" s="214" t="n">
        <x:f>MAX(0,E25-F26)</x:f>
        <x:v>68</x:v>
      </x:c>
      <x:c r="G25" s="214" t="n">
        <x:f>MAX(0,F25-G26)</x:f>
        <x:v>60</x:v>
      </x:c>
      <x:c r="H25" s="186"/>
      <x:c r="I25" s="186"/>
      <x:c r="J25" s="186"/>
      <x:c r="K25" s="186"/>
      <x:c r="L25" s="186"/>
      <x:c r="M25" s="186"/>
      <x:c r="N25" s="186"/>
      <x:c r="O25" s="186"/>
      <x:c r="P25" s="186"/>
      <x:c r="Q25" s="186"/>
      <x:c r="R25" s="186"/>
      <x:c r="S25" s="186"/>
      <x:c r="T25" s="186"/>
      <x:c r="U25" s="186"/>
      <x:c r="V25" s="186"/>
      <x:c r="W25" s="186"/>
      <x:c r="X25" s="186"/>
      <x:c r="Y25" s="186"/>
      <x:c r="Z25" s="186"/>
    </x:row>
    <x:row r="26">
      <x:c r="A26" s="186" t="str">
        <x:v>Scheduled Principal</x:v>
      </x:c>
      <x:c r="B26" s="197" t="n">
        <x:v>5</x:v>
      </x:c>
      <x:c r="C26" s="197" t="n">
        <x:v>5</x:v>
      </x:c>
      <x:c r="D26" s="197" t="n">
        <x:v>5</x:v>
      </x:c>
      <x:c r="E26" s="197" t="n">
        <x:v>5</x:v>
      </x:c>
      <x:c r="F26" s="197" t="n">
        <x:v>7</x:v>
      </x:c>
      <x:c r="G26" s="197" t="n">
        <x:v>8</x:v>
      </x:c>
      <x:c r="H26" s="186"/>
      <x:c r="I26" s="186"/>
      <x:c r="J26" s="186"/>
      <x:c r="K26" s="186"/>
      <x:c r="L26" s="186"/>
      <x:c r="M26" s="186"/>
      <x:c r="N26" s="186"/>
      <x:c r="O26" s="186"/>
      <x:c r="P26" s="186"/>
      <x:c r="Q26" s="186"/>
      <x:c r="R26" s="186"/>
      <x:c r="S26" s="186"/>
      <x:c r="T26" s="186"/>
      <x:c r="U26" s="186"/>
      <x:c r="V26" s="186"/>
      <x:c r="W26" s="186"/>
      <x:c r="X26" s="186"/>
      <x:c r="Y26" s="186"/>
      <x:c r="Z26" s="186"/>
    </x:row>
    <x:row r="27">
      <x:c r="A27" s="186" t="str">
        <x:v>Current Assets</x:v>
      </x:c>
      <x:c r="B27" s="197" t="n">
        <x:v>105</x:v>
      </x:c>
      <x:c r="C27" s="197" t="n">
        <x:v>121</x:v>
      </x:c>
      <x:c r="D27" s="197" t="n">
        <x:v>145</x:v>
      </x:c>
      <x:c r="E27" s="215" t="n">
        <x:f>D27*(1+E4*0.85)</x:f>
        <x:v>166.692</x:v>
      </x:c>
      <x:c r="F27" s="215" t="n">
        <x:f>E27*(1+F4*0.85)</x:f>
        <x:v>189.36211200000002</x:v>
      </x:c>
      <x:c r="G27" s="215" t="n">
        <x:f>F27*(1+G4*0.85)</x:f>
        <x:v>212.05716112320002</x:v>
      </x:c>
      <x:c r="H27" s="186"/>
      <x:c r="I27" s="186"/>
      <x:c r="J27" s="186"/>
      <x:c r="K27" s="186"/>
      <x:c r="L27" s="186"/>
      <x:c r="M27" s="186"/>
      <x:c r="N27" s="186"/>
      <x:c r="O27" s="186"/>
      <x:c r="P27" s="186"/>
      <x:c r="Q27" s="186"/>
      <x:c r="R27" s="186"/>
      <x:c r="S27" s="186"/>
      <x:c r="T27" s="186"/>
      <x:c r="U27" s="186"/>
      <x:c r="V27" s="186"/>
      <x:c r="W27" s="186"/>
      <x:c r="X27" s="186"/>
      <x:c r="Y27" s="186"/>
      <x:c r="Z27" s="186"/>
    </x:row>
    <x:row r="28">
      <x:c r="A28" s="186" t="str">
        <x:v>Current Liabilities</x:v>
      </x:c>
      <x:c r="B28" s="197" t="n">
        <x:v>70</x:v>
      </x:c>
      <x:c r="C28" s="197" t="n">
        <x:v>75</x:v>
      </x:c>
      <x:c r="D28" s="197" t="n">
        <x:v>81</x:v>
      </x:c>
      <x:c r="E28" s="215" t="n">
        <x:f>D28*(1+E4*0.75)</x:f>
        <x:v>91.69200000000001</x:v>
      </x:c>
      <x:c r="F28" s="215" t="n">
        <x:f>E28*(1+F4*0.75)</x:f>
        <x:v>102.69504000000002</x:v>
      </x:c>
      <x:c r="G28" s="215" t="n">
        <x:f>F28*(1+G4*0.75)</x:f>
        <x:v>113.55504048000002</x:v>
      </x:c>
      <x:c r="H28" s="186"/>
      <x:c r="I28" s="186"/>
      <x:c r="J28" s="186"/>
      <x:c r="K28" s="186"/>
      <x:c r="L28" s="186"/>
      <x:c r="M28" s="186"/>
      <x:c r="N28" s="186"/>
      <x:c r="O28" s="186"/>
      <x:c r="P28" s="186"/>
      <x:c r="Q28" s="186"/>
      <x:c r="R28" s="186"/>
      <x:c r="S28" s="186"/>
      <x:c r="T28" s="186"/>
      <x:c r="U28" s="186"/>
      <x:c r="V28" s="186"/>
      <x:c r="W28" s="186"/>
      <x:c r="X28" s="186"/>
      <x:c r="Y28" s="186"/>
      <x:c r="Z28" s="186"/>
    </x:row>
    <x:row r="29">
      <x:c r="A29" s="186" t="str">
        <x:v>Current Ratio</x:v>
      </x:c>
      <x:c r="B29" s="216" t="n">
        <x:v>1.5</x:v>
      </x:c>
      <x:c r="C29" s="216" t="n">
        <x:v>1.6133333333333333</x:v>
      </x:c>
      <x:c r="D29" s="216" t="n">
        <x:v>1.7901234567901234</x:v>
      </x:c>
      <x:c r="E29" s="199" t="n">
        <x:f>E27/E28</x:f>
        <x:v>1.8179557649522313</x:v>
      </x:c>
      <x:c r="F29" s="199" t="n">
        <x:f>F27/F28</x:f>
        <x:v>1.843926561594406</x:v>
      </x:c>
      <x:c r="G29" s="199" t="n">
        <x:f>G27/G28</x:f>
        <x:v>1.867439439295949</x:v>
      </x:c>
      <x:c r="H29" s="186"/>
      <x:c r="I29" s="186"/>
      <x:c r="J29" s="186"/>
      <x:c r="K29" s="186"/>
      <x:c r="L29" s="186"/>
      <x:c r="M29" s="186"/>
      <x:c r="N29" s="186"/>
      <x:c r="O29" s="186"/>
      <x:c r="P29" s="186"/>
      <x:c r="Q29" s="186"/>
      <x:c r="R29" s="186"/>
      <x:c r="S29" s="186"/>
      <x:c r="T29" s="186"/>
      <x:c r="U29" s="186"/>
      <x:c r="V29" s="186"/>
      <x:c r="W29" s="186"/>
      <x:c r="X29" s="186"/>
      <x:c r="Y29" s="186"/>
      <x:c r="Z29" s="186"/>
    </x:row>
    <x:row r="30">
      <x:c r="A30" s="212" t="str">
        <x:v>ARR</x:v>
      </x:c>
      <x:c r="B30" s="213" t="n">
        <x:v>162</x:v>
      </x:c>
      <x:c r="C30" s="213" t="n">
        <x:v>198</x:v>
      </x:c>
      <x:c r="D30" s="213" t="n">
        <x:v>236</x:v>
      </x:c>
      <x:c r="E30" s="214" t="n">
        <x:f>E5*0.927</x:f>
        <x:v>277.98876</x:v>
      </x:c>
      <x:c r="F30" s="214" t="n">
        <x:f>F5*0.927</x:f>
        <x:v>322.4669616</x:v>
      </x:c>
      <x:c r="G30" s="214" t="n">
        <x:f>G5*0.927</x:f>
        <x:v>367.9348031856</x:v>
      </x:c>
      <x:c r="H30" s="186"/>
      <x:c r="I30" s="186"/>
      <x:c r="J30" s="186"/>
      <x:c r="K30" s="186"/>
      <x:c r="L30" s="186"/>
      <x:c r="M30" s="186"/>
      <x:c r="N30" s="186"/>
      <x:c r="O30" s="186"/>
      <x:c r="P30" s="186"/>
      <x:c r="Q30" s="186"/>
      <x:c r="R30" s="186"/>
      <x:c r="S30" s="186"/>
      <x:c r="T30" s="186"/>
      <x:c r="U30" s="186"/>
      <x:c r="V30" s="186"/>
      <x:c r="W30" s="186"/>
      <x:c r="X30" s="186"/>
      <x:c r="Y30" s="186"/>
      <x:c r="Z30" s="186"/>
    </x:row>
    <x:row r="31">
      <x:c r="A31" s="186" t="str">
        <x:v>NRR</x:v>
      </x:c>
      <x:c r="B31" s="198" t="n">
        <x:v>1.15</x:v>
      </x:c>
      <x:c r="C31" s="198" t="n">
        <x:v>1.14</x:v>
      </x:c>
      <x:c r="D31" s="198" t="n">
        <x:v>1.12</x:v>
      </x:c>
      <x:c r="E31" s="198" t="n">
        <x:v>1.11</x:v>
      </x:c>
      <x:c r="F31" s="198" t="n">
        <x:v>1.1</x:v>
      </x:c>
      <x:c r="G31" s="198" t="n">
        <x:v>1.09</x:v>
      </x:c>
      <x:c r="H31" s="186"/>
      <x:c r="I31" s="186"/>
      <x:c r="J31" s="186"/>
      <x:c r="K31" s="186"/>
      <x:c r="L31" s="186"/>
      <x:c r="M31" s="186"/>
      <x:c r="N31" s="186"/>
      <x:c r="O31" s="186"/>
      <x:c r="P31" s="186"/>
      <x:c r="Q31" s="186"/>
      <x:c r="R31" s="186"/>
      <x:c r="S31" s="186"/>
      <x:c r="T31" s="186"/>
      <x:c r="U31" s="186"/>
      <x:c r="V31" s="186"/>
      <x:c r="W31" s="186"/>
      <x:c r="X31" s="186"/>
      <x:c r="Y31" s="186"/>
      <x:c r="Z31" s="186"/>
    </x:row>
    <x:row r="32">
      <x:c r="A32" s="186" t="str">
        <x:v>International Revenue</x:v>
      </x:c>
      <x:c r="B32" s="198" t="n">
        <x:v>0.12</x:v>
      </x:c>
      <x:c r="C32" s="198" t="n">
        <x:v>0.15</x:v>
      </x:c>
      <x:c r="D32" s="198" t="n">
        <x:v>0.18</x:v>
      </x:c>
      <x:c r="E32" s="198" t="n">
        <x:v>0.21</x:v>
      </x:c>
      <x:c r="F32" s="198" t="n">
        <x:v>0.24</x:v>
      </x:c>
      <x:c r="G32" s="198" t="n">
        <x:v>0.27</x:v>
      </x:c>
      <x:c r="H32" s="186"/>
      <x:c r="I32" s="186"/>
      <x:c r="J32" s="186"/>
      <x:c r="K32" s="186"/>
      <x:c r="L32" s="186"/>
      <x:c r="M32" s="186"/>
      <x:c r="N32" s="186"/>
      <x:c r="O32" s="186"/>
      <x:c r="P32" s="186"/>
      <x:c r="Q32" s="186"/>
      <x:c r="R32" s="186"/>
      <x:c r="S32" s="186"/>
      <x:c r="T32" s="186"/>
      <x:c r="U32" s="186"/>
      <x:c r="V32" s="186"/>
      <x:c r="W32" s="186"/>
      <x:c r="X32" s="186"/>
      <x:c r="Y32" s="186"/>
      <x:c r="Z32" s="186"/>
    </x:row>
    <x:row r="33">
      <x:c r="A33" s="186" t="str">
        <x:v>Customers</x:v>
      </x:c>
      <x:c r="B33" s="217" t="n">
        <x:v>910</x:v>
      </x:c>
      <x:c r="C33" s="217" t="n">
        <x:v>1080</x:v>
      </x:c>
      <x:c r="D33" s="217" t="n">
        <x:v>1240</x:v>
      </x:c>
      <x:c r="E33" s="218" t="n">
        <x:f>D33*(1+0.153)</x:f>
        <x:v>1429.72</x:v>
      </x:c>
      <x:c r="F33" s="218" t="n">
        <x:f>E33*(1+0.126)</x:f>
        <x:v>1609.8647199999998</x:v>
      </x:c>
      <x:c r="G33" s="218" t="n">
        <x:f>F33*(1+0.106)</x:f>
        <x:v>1780.51038032</x:v>
      </x:c>
      <x:c r="H33" s="186"/>
      <x:c r="I33" s="186"/>
      <x:c r="J33" s="186"/>
      <x:c r="K33" s="186"/>
      <x:c r="L33" s="186"/>
      <x:c r="M33" s="186"/>
      <x:c r="N33" s="186"/>
      <x:c r="O33" s="186"/>
      <x:c r="P33" s="186"/>
      <x:c r="Q33" s="186"/>
      <x:c r="R33" s="186"/>
      <x:c r="S33" s="186"/>
      <x:c r="T33" s="186"/>
      <x:c r="U33" s="186"/>
      <x:c r="V33" s="186"/>
      <x:c r="W33" s="186"/>
      <x:c r="X33" s="186"/>
      <x:c r="Y33" s="186"/>
      <x:c r="Z33" s="186"/>
    </x:row>
    <x:row r="34">
      <x:c r="A34" s="212" t="str">
        <x:v>Net Leverage</x:v>
      </x:c>
      <x:c r="B34" s="219" t="n">
        <x:v>7.2</x:v>
      </x:c>
      <x:c r="C34" s="219" t="n">
        <x:v>2.8636363636363638</x:v>
      </x:c>
      <x:c r="D34" s="219" t="n">
        <x:v>0.9696969696969697</x:v>
      </x:c>
      <x:c r="E34" s="220" t="n">
        <x:f>MAX(E25-E24,0)/E12</x:f>
        <x:v>0</x:v>
      </x:c>
      <x:c r="F34" s="220" t="n">
        <x:f>MAX(F25-F24,0)/F12</x:f>
        <x:v>0</x:v>
      </x:c>
      <x:c r="G34" s="220" t="n">
        <x:f>MAX(G25-G24,0)/G12</x:f>
        <x:v>0</x:v>
      </x:c>
      <x:c r="H34" s="186"/>
      <x:c r="I34" s="186"/>
      <x:c r="J34" s="186"/>
      <x:c r="K34" s="186"/>
      <x:c r="L34" s="186"/>
      <x:c r="M34" s="186"/>
      <x:c r="N34" s="186"/>
      <x:c r="O34" s="186"/>
      <x:c r="P34" s="186"/>
      <x:c r="Q34" s="186"/>
      <x:c r="R34" s="186"/>
      <x:c r="S34" s="186"/>
      <x:c r="T34" s="186"/>
      <x:c r="U34" s="186"/>
      <x:c r="V34" s="186"/>
      <x:c r="W34" s="186"/>
      <x:c r="X34" s="186"/>
      <x:c r="Y34" s="186"/>
      <x:c r="Z34" s="186"/>
    </x:row>
    <x:row r="35">
      <x:c r="A35" s="212" t="str">
        <x:v>DSCR</x:v>
      </x:c>
      <x:c r="B35" s="219" t="n">
        <x:v>0.07692307692307693</x:v>
      </x:c>
      <x:c r="C35" s="219" t="n">
        <x:v>0.8125</x:v>
      </x:c>
      <x:c r="D35" s="219" t="n">
        <x:v>1.4772727272727273</x:v>
      </x:c>
      <x:c r="E35" s="220" t="n">
        <x:f>(E12-E21-E17)/(E15+E26)</x:f>
        <x:v>2.4121491769547325</x:v>
      </x:c>
      <x:c r="F35" s="220" t="n">
        <x:f>(F12-F21-F17)/(F15+F26)</x:f>
        <x:v>2.806639929978118</x:v>
      </x:c>
      <x:c r="G35" s="220" t="n">
        <x:f>(G12-G21-G17)/(G15+G26)</x:f>
        <x:v>3.362989960073259</x:v>
      </x:c>
      <x:c r="H35" s="186"/>
      <x:c r="I35" s="186"/>
      <x:c r="J35" s="186"/>
      <x:c r="K35" s="186"/>
      <x:c r="L35" s="186"/>
      <x:c r="M35" s="186"/>
      <x:c r="N35" s="186"/>
      <x:c r="O35" s="186"/>
      <x:c r="P35" s="186"/>
      <x:c r="Q35" s="186"/>
      <x:c r="R35" s="186"/>
      <x:c r="S35" s="186"/>
      <x:c r="T35" s="186"/>
      <x:c r="U35" s="186"/>
      <x:c r="V35" s="186"/>
      <x:c r="W35" s="186"/>
      <x:c r="X35" s="186"/>
      <x:c r="Y35" s="186"/>
      <x:c r="Z35" s="186"/>
    </x:row>
    <x:row r="36">
      <x:c r="A36" s="186"/>
      <x:c r="B36" s="186"/>
      <x:c r="C36" s="186"/>
      <x:c r="D36" s="186"/>
      <x:c r="E36" s="186"/>
      <x:c r="F36" s="186"/>
      <x:c r="G36" s="186"/>
      <x:c r="H36" s="186"/>
      <x:c r="I36" s="186"/>
      <x:c r="J36" s="186"/>
      <x:c r="K36" s="186"/>
      <x:c r="L36" s="186"/>
      <x:c r="M36" s="186"/>
      <x:c r="N36" s="186"/>
      <x:c r="O36" s="186"/>
      <x:c r="P36" s="186"/>
      <x:c r="Q36" s="186"/>
      <x:c r="R36" s="186"/>
      <x:c r="S36" s="186"/>
      <x:c r="T36" s="186"/>
      <x:c r="U36" s="186"/>
      <x:c r="V36" s="186"/>
      <x:c r="W36" s="186"/>
      <x:c r="X36" s="186"/>
      <x:c r="Y36" s="186"/>
      <x:c r="Z36" s="186"/>
    </x:row>
    <x:row r="37">
      <x:c r="A37" s="186"/>
      <x:c r="B37" s="186"/>
      <x:c r="C37" s="186"/>
      <x:c r="D37" s="186"/>
      <x:c r="E37" s="186"/>
      <x:c r="F37" s="186"/>
      <x:c r="G37" s="186"/>
      <x:c r="H37" s="186"/>
      <x:c r="I37" s="186"/>
      <x:c r="J37" s="186"/>
      <x:c r="K37" s="186"/>
      <x:c r="L37" s="186"/>
      <x:c r="M37" s="186"/>
      <x:c r="N37" s="186"/>
      <x:c r="O37" s="186"/>
      <x:c r="P37" s="186"/>
      <x:c r="Q37" s="186"/>
      <x:c r="R37" s="186"/>
      <x:c r="S37" s="186"/>
      <x:c r="T37" s="186"/>
      <x:c r="U37" s="186"/>
      <x:c r="V37" s="186"/>
      <x:c r="W37" s="186"/>
      <x:c r="X37" s="186"/>
      <x:c r="Y37" s="186"/>
      <x:c r="Z37" s="186"/>
    </x:row>
    <x:row r="38">
      <x:c r="A38" s="186"/>
      <x:c r="B38" s="186"/>
      <x:c r="C38" s="186"/>
      <x:c r="D38" s="186"/>
      <x:c r="E38" s="186"/>
      <x:c r="F38" s="186"/>
      <x:c r="G38" s="186"/>
      <x:c r="H38" s="186"/>
      <x:c r="I38" s="186"/>
      <x:c r="J38" s="186"/>
      <x:c r="K38" s="186"/>
      <x:c r="L38" s="186"/>
      <x:c r="M38" s="186"/>
      <x:c r="N38" s="186"/>
      <x:c r="O38" s="186"/>
      <x:c r="P38" s="186"/>
      <x:c r="Q38" s="186"/>
      <x:c r="R38" s="186"/>
      <x:c r="S38" s="186"/>
      <x:c r="T38" s="186"/>
      <x:c r="U38" s="186"/>
      <x:c r="V38" s="186"/>
      <x:c r="W38" s="186"/>
      <x:c r="X38" s="186"/>
      <x:c r="Y38" s="186"/>
      <x:c r="Z38" s="186"/>
    </x:row>
    <x:row r="39">
      <x:c r="A39" s="186"/>
      <x:c r="B39" s="186"/>
      <x:c r="C39" s="186"/>
      <x:c r="D39" s="186"/>
      <x:c r="E39" s="186"/>
      <x:c r="F39" s="186"/>
      <x:c r="G39" s="186"/>
      <x:c r="H39" s="186"/>
      <x:c r="I39" s="186"/>
      <x:c r="J39" s="186"/>
      <x:c r="K39" s="186"/>
      <x:c r="L39" s="186"/>
      <x:c r="M39" s="186"/>
      <x:c r="N39" s="186"/>
      <x:c r="O39" s="186"/>
      <x:c r="P39" s="186"/>
      <x:c r="Q39" s="186"/>
      <x:c r="R39" s="186"/>
      <x:c r="S39" s="186"/>
      <x:c r="T39" s="186"/>
      <x:c r="U39" s="186"/>
      <x:c r="V39" s="186"/>
      <x:c r="W39" s="186"/>
      <x:c r="X39" s="186"/>
      <x:c r="Y39" s="186"/>
      <x:c r="Z39" s="186"/>
    </x:row>
    <x:row r="40">
      <x:c r="A40" s="186"/>
      <x:c r="B40" s="186"/>
      <x:c r="C40" s="186"/>
      <x:c r="D40" s="186"/>
      <x:c r="E40" s="186"/>
      <x:c r="F40" s="186"/>
      <x:c r="G40" s="186"/>
      <x:c r="H40" s="186"/>
      <x:c r="I40" s="186"/>
      <x:c r="J40" s="186"/>
      <x:c r="K40" s="186"/>
      <x:c r="L40" s="186"/>
      <x:c r="M40" s="186"/>
      <x:c r="N40" s="186"/>
      <x:c r="O40" s="186"/>
      <x:c r="P40" s="186"/>
      <x:c r="Q40" s="186"/>
      <x:c r="R40" s="186"/>
      <x:c r="S40" s="186"/>
      <x:c r="T40" s="186"/>
      <x:c r="U40" s="186"/>
      <x:c r="V40" s="186"/>
      <x:c r="W40" s="186"/>
      <x:c r="X40" s="186"/>
      <x:c r="Y40" s="186"/>
      <x:c r="Z40" s="186"/>
    </x:row>
    <x:row r="41">
      <x:c r="A41" s="186"/>
      <x:c r="B41" s="186"/>
      <x:c r="C41" s="186"/>
      <x:c r="D41" s="186"/>
      <x:c r="E41" s="186"/>
      <x:c r="F41" s="186"/>
      <x:c r="G41" s="186"/>
      <x:c r="H41" s="186"/>
      <x:c r="I41" s="186"/>
      <x:c r="J41" s="186"/>
      <x:c r="K41" s="186"/>
      <x:c r="L41" s="186"/>
      <x:c r="M41" s="186"/>
      <x:c r="N41" s="186"/>
      <x:c r="O41" s="186"/>
      <x:c r="P41" s="186"/>
      <x:c r="Q41" s="186"/>
      <x:c r="R41" s="186"/>
      <x:c r="S41" s="186"/>
      <x:c r="T41" s="186"/>
      <x:c r="U41" s="186"/>
      <x:c r="V41" s="186"/>
      <x:c r="W41" s="186"/>
      <x:c r="X41" s="186"/>
      <x:c r="Y41" s="186"/>
      <x:c r="Z41" s="186"/>
    </x:row>
    <x:row r="42">
      <x:c r="A42" s="186"/>
      <x:c r="B42" s="186"/>
      <x:c r="C42" s="186"/>
      <x:c r="D42" s="186"/>
      <x:c r="E42" s="186"/>
      <x:c r="F42" s="186"/>
      <x:c r="G42" s="186"/>
      <x:c r="H42" s="186"/>
      <x:c r="I42" s="186"/>
      <x:c r="J42" s="186"/>
      <x:c r="K42" s="186"/>
      <x:c r="L42" s="186"/>
      <x:c r="M42" s="186"/>
      <x:c r="N42" s="186"/>
      <x:c r="O42" s="186"/>
      <x:c r="P42" s="186"/>
      <x:c r="Q42" s="186"/>
      <x:c r="R42" s="186"/>
      <x:c r="S42" s="186"/>
      <x:c r="T42" s="186"/>
      <x:c r="U42" s="186"/>
      <x:c r="V42" s="186"/>
      <x:c r="W42" s="186"/>
      <x:c r="X42" s="186"/>
      <x:c r="Y42" s="186"/>
      <x:c r="Z42" s="186"/>
    </x:row>
    <x:row r="43">
      <x:c r="A43" s="186"/>
      <x:c r="B43" s="186"/>
      <x:c r="C43" s="186"/>
      <x:c r="D43" s="186"/>
      <x:c r="E43" s="186"/>
      <x:c r="F43" s="186"/>
      <x:c r="G43" s="186"/>
      <x:c r="H43" s="186"/>
      <x:c r="I43" s="186"/>
      <x:c r="J43" s="186"/>
      <x:c r="K43" s="186"/>
      <x:c r="L43" s="186"/>
      <x:c r="M43" s="186"/>
      <x:c r="N43" s="186"/>
      <x:c r="O43" s="186"/>
      <x:c r="P43" s="186"/>
      <x:c r="Q43" s="186"/>
      <x:c r="R43" s="186"/>
      <x:c r="S43" s="186"/>
      <x:c r="T43" s="186"/>
      <x:c r="U43" s="186"/>
      <x:c r="V43" s="186"/>
      <x:c r="W43" s="186"/>
      <x:c r="X43" s="186"/>
      <x:c r="Y43" s="186"/>
      <x:c r="Z43" s="186"/>
    </x:row>
    <x:row r="44">
      <x:c r="A44" s="186"/>
      <x:c r="B44" s="186"/>
      <x:c r="C44" s="186"/>
      <x:c r="D44" s="186"/>
      <x:c r="E44" s="186"/>
      <x:c r="F44" s="186"/>
      <x:c r="G44" s="186"/>
      <x:c r="H44" s="186"/>
      <x:c r="I44" s="186"/>
      <x:c r="J44" s="186"/>
      <x:c r="K44" s="186"/>
      <x:c r="L44" s="186"/>
      <x:c r="M44" s="186"/>
      <x:c r="N44" s="186"/>
      <x:c r="O44" s="186"/>
      <x:c r="P44" s="186"/>
      <x:c r="Q44" s="186"/>
      <x:c r="R44" s="186"/>
      <x:c r="S44" s="186"/>
      <x:c r="T44" s="186"/>
      <x:c r="U44" s="186"/>
      <x:c r="V44" s="186"/>
      <x:c r="W44" s="186"/>
      <x:c r="X44" s="186"/>
      <x:c r="Y44" s="186"/>
      <x:c r="Z44" s="186"/>
    </x:row>
    <x:row r="45">
      <x:c r="A45" s="186"/>
      <x:c r="B45" s="186"/>
      <x:c r="C45" s="186"/>
      <x:c r="D45" s="186"/>
      <x:c r="E45" s="186"/>
      <x:c r="F45" s="186"/>
      <x:c r="G45" s="186"/>
      <x:c r="H45" s="186"/>
      <x:c r="I45" s="186"/>
      <x:c r="J45" s="186"/>
      <x:c r="K45" s="186"/>
      <x:c r="L45" s="186"/>
      <x:c r="M45" s="186"/>
      <x:c r="N45" s="186"/>
      <x:c r="O45" s="186"/>
      <x:c r="P45" s="186"/>
      <x:c r="Q45" s="186"/>
      <x:c r="R45" s="186"/>
      <x:c r="S45" s="186"/>
      <x:c r="T45" s="186"/>
      <x:c r="U45" s="186"/>
      <x:c r="V45" s="186"/>
      <x:c r="W45" s="186"/>
      <x:c r="X45" s="186"/>
      <x:c r="Y45" s="186"/>
      <x:c r="Z45" s="186"/>
    </x:row>
    <x:row r="46">
      <x:c r="A46" s="186"/>
      <x:c r="B46" s="186"/>
      <x:c r="C46" s="186"/>
      <x:c r="D46" s="186"/>
      <x:c r="E46" s="186"/>
      <x:c r="F46" s="186"/>
      <x:c r="G46" s="186"/>
      <x:c r="H46" s="186"/>
      <x:c r="I46" s="186"/>
      <x:c r="J46" s="186"/>
      <x:c r="K46" s="186"/>
      <x:c r="L46" s="186"/>
      <x:c r="M46" s="186"/>
      <x:c r="N46" s="186"/>
      <x:c r="O46" s="186"/>
      <x:c r="P46" s="186"/>
      <x:c r="Q46" s="186"/>
      <x:c r="R46" s="186"/>
      <x:c r="S46" s="186"/>
      <x:c r="T46" s="186"/>
      <x:c r="U46" s="186"/>
      <x:c r="V46" s="186"/>
      <x:c r="W46" s="186"/>
      <x:c r="X46" s="186"/>
      <x:c r="Y46" s="186"/>
      <x:c r="Z46" s="186"/>
    </x:row>
    <x:row r="47">
      <x:c r="A47" s="186"/>
      <x:c r="B47" s="186"/>
      <x:c r="C47" s="186"/>
      <x:c r="D47" s="186"/>
      <x:c r="E47" s="186"/>
      <x:c r="F47" s="186"/>
      <x:c r="G47" s="186"/>
      <x:c r="H47" s="186"/>
      <x:c r="I47" s="186"/>
      <x:c r="J47" s="186"/>
      <x:c r="K47" s="186"/>
      <x:c r="L47" s="186"/>
      <x:c r="M47" s="186"/>
      <x:c r="N47" s="186"/>
      <x:c r="O47" s="186"/>
      <x:c r="P47" s="186"/>
      <x:c r="Q47" s="186"/>
      <x:c r="R47" s="186"/>
      <x:c r="S47" s="186"/>
      <x:c r="T47" s="186"/>
      <x:c r="U47" s="186"/>
      <x:c r="V47" s="186"/>
      <x:c r="W47" s="186"/>
      <x:c r="X47" s="186"/>
      <x:c r="Y47" s="186"/>
      <x:c r="Z47" s="186"/>
    </x:row>
    <x:row r="48">
      <x:c r="A48" s="186"/>
      <x:c r="B48" s="186"/>
      <x:c r="C48" s="186"/>
      <x:c r="D48" s="186"/>
      <x:c r="E48" s="186"/>
      <x:c r="F48" s="186"/>
      <x:c r="G48" s="186"/>
      <x:c r="H48" s="186"/>
      <x:c r="I48" s="186"/>
      <x:c r="J48" s="186"/>
      <x:c r="K48" s="186"/>
      <x:c r="L48" s="186"/>
      <x:c r="M48" s="186"/>
      <x:c r="N48" s="186"/>
      <x:c r="O48" s="186"/>
      <x:c r="P48" s="186"/>
      <x:c r="Q48" s="186"/>
      <x:c r="R48" s="186"/>
      <x:c r="S48" s="186"/>
      <x:c r="T48" s="186"/>
      <x:c r="U48" s="186"/>
      <x:c r="V48" s="186"/>
      <x:c r="W48" s="186"/>
      <x:c r="X48" s="186"/>
      <x:c r="Y48" s="186"/>
      <x:c r="Z48" s="186"/>
    </x:row>
    <x:row r="49">
      <x:c r="A49" s="186"/>
      <x:c r="B49" s="186"/>
      <x:c r="C49" s="186"/>
      <x:c r="D49" s="186"/>
      <x:c r="E49" s="186"/>
      <x:c r="F49" s="186"/>
      <x:c r="G49" s="186"/>
      <x:c r="H49" s="186"/>
      <x:c r="I49" s="186"/>
      <x:c r="J49" s="186"/>
      <x:c r="K49" s="186"/>
      <x:c r="L49" s="186"/>
      <x:c r="M49" s="186"/>
      <x:c r="N49" s="186"/>
      <x:c r="O49" s="186"/>
      <x:c r="P49" s="186"/>
      <x:c r="Q49" s="186"/>
      <x:c r="R49" s="186"/>
      <x:c r="S49" s="186"/>
      <x:c r="T49" s="186"/>
      <x:c r="U49" s="186"/>
      <x:c r="V49" s="186"/>
      <x:c r="W49" s="186"/>
      <x:c r="X49" s="186"/>
      <x:c r="Y49" s="186"/>
      <x:c r="Z49" s="186"/>
    </x:row>
    <x:row r="50">
      <x:c r="A50" s="186"/>
      <x:c r="B50" s="186"/>
      <x:c r="C50" s="186"/>
      <x:c r="D50" s="186"/>
      <x:c r="E50" s="186"/>
      <x:c r="F50" s="186"/>
      <x:c r="G50" s="186"/>
      <x:c r="H50" s="186"/>
      <x:c r="I50" s="186"/>
      <x:c r="J50" s="186"/>
      <x:c r="K50" s="186"/>
      <x:c r="L50" s="186"/>
      <x:c r="M50" s="186"/>
      <x:c r="N50" s="186"/>
      <x:c r="O50" s="186"/>
      <x:c r="P50" s="186"/>
      <x:c r="Q50" s="186"/>
      <x:c r="R50" s="186"/>
      <x:c r="S50" s="186"/>
      <x:c r="T50" s="186"/>
      <x:c r="U50" s="186"/>
      <x:c r="V50" s="186"/>
      <x:c r="W50" s="186"/>
      <x:c r="X50" s="186"/>
      <x:c r="Y50" s="186"/>
      <x:c r="Z50" s="186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5" t="str">
        <x:v>AetherGrid Systems — Base / Downside / Upside Credit Scenarios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186"/>
      <x:c r="Q1" s="186"/>
      <x:c r="R1" s="186"/>
      <x:c r="S1" s="186"/>
      <x:c r="T1" s="186"/>
      <x:c r="U1" s="186"/>
      <x:c r="V1" s="186"/>
      <x:c r="W1" s="186"/>
      <x:c r="X1" s="186"/>
      <x:c r="Y1" s="186"/>
      <x:c r="Z1" s="186"/>
    </x:row>
    <x:row r="2">
      <x:c r="A2" s="186"/>
      <x:c r="B2" s="186"/>
      <x:c r="C2" s="186"/>
      <x:c r="D2" s="186"/>
      <x:c r="E2" s="186"/>
      <x:c r="F2" s="186"/>
      <x:c r="G2" s="186"/>
      <x:c r="H2" s="186"/>
      <x:c r="I2" s="186"/>
      <x:c r="J2" s="186"/>
      <x:c r="K2" s="186"/>
      <x:c r="L2" s="186"/>
      <x:c r="M2" s="186"/>
      <x:c r="N2" s="186"/>
      <x:c r="O2" s="186"/>
      <x:c r="P2" s="186"/>
      <x:c r="Q2" s="186"/>
      <x:c r="R2" s="186"/>
      <x:c r="S2" s="186"/>
      <x:c r="T2" s="186"/>
      <x:c r="U2" s="186"/>
      <x:c r="V2" s="186"/>
      <x:c r="W2" s="186"/>
      <x:c r="X2" s="186"/>
      <x:c r="Y2" s="186"/>
      <x:c r="Z2" s="186"/>
    </x:row>
    <x:row r="3">
      <x:c r="A3" s="11" t="str">
        <x:v>Scenario</x:v>
      </x:c>
      <x:c r="B3" s="11" t="str">
        <x:v>Year</x:v>
      </x:c>
      <x:c r="C3" s="11" t="str">
        <x:v>Revenue ($MM)</x:v>
      </x:c>
      <x:c r="D3" s="11" t="str">
        <x:v>Revenue Growth</x:v>
      </x:c>
      <x:c r="E3" s="11" t="str">
        <x:v>EBITDA ($MM)</x:v>
      </x:c>
      <x:c r="F3" s="11" t="str">
        <x:v>EBITDA Margin</x:v>
      </x:c>
      <x:c r="G3" s="11" t="str">
        <x:v>Capex ($MM)</x:v>
      </x:c>
      <x:c r="H3" s="11" t="str">
        <x:v>Cash Taxes ($MM)</x:v>
      </x:c>
      <x:c r="I3" s="11" t="str">
        <x:v>Debt ($MM)</x:v>
      </x:c>
      <x:c r="J3" s="11" t="str">
        <x:v>Interest Rate</x:v>
      </x:c>
      <x:c r="K3" s="11" t="str">
        <x:v>Interest Expense ($MM)</x:v>
      </x:c>
      <x:c r="L3" s="11" t="str">
        <x:v>Principal ($MM)</x:v>
      </x:c>
      <x:c r="M3" s="11" t="str">
        <x:v>Cash Available DS ($MM)</x:v>
      </x:c>
      <x:c r="N3" s="11" t="str">
        <x:v>DSCR</x:v>
      </x:c>
      <x:c r="O3" s="11" t="str">
        <x:v>Net Leverage</x:v>
      </x:c>
      <x:c r="P3" s="186"/>
      <x:c r="Q3" s="186"/>
      <x:c r="R3" s="186"/>
      <x:c r="S3" s="186"/>
      <x:c r="T3" s="186"/>
      <x:c r="U3" s="186"/>
      <x:c r="V3" s="186"/>
      <x:c r="W3" s="186"/>
      <x:c r="X3" s="186"/>
      <x:c r="Y3" s="186"/>
      <x:c r="Z3" s="186"/>
    </x:row>
    <x:row r="4">
      <x:c r="A4" s="186" t="str">
        <x:v>Base</x:v>
      </x:c>
      <x:c r="B4" s="186" t="n">
        <x:v>2026</x:v>
      </x:c>
      <x:c r="C4" s="230" t="n">
        <x:v>299.9</x:v>
      </x:c>
      <x:c r="D4" s="231" t="n">
        <x:v>0.17600000000000002</x:v>
      </x:c>
      <x:c r="E4" s="230" t="n">
        <x:v>45</x:v>
      </x:c>
      <x:c r="F4" s="231" t="n">
        <x:v>0.15</x:v>
      </x:c>
      <x:c r="G4" s="230" t="n">
        <x:v>15</x:v>
      </x:c>
      <x:c r="H4" s="230" t="n">
        <x:v>6.6</x:v>
      </x:c>
      <x:c r="I4" s="230" t="n">
        <x:v>80</x:v>
      </x:c>
      <x:c r="J4" s="232" t="n">
        <x:v>0.059000000000000004</x:v>
      </x:c>
      <x:c r="K4" s="230" t="n">
        <x:v>4.7</x:v>
      </x:c>
      <x:c r="L4" s="230" t="n">
        <x:v>5</x:v>
      </x:c>
      <x:c r="M4" s="230" t="n">
        <x:v>23.4</x:v>
      </x:c>
      <x:c r="N4" s="233" t="n">
        <x:v>2.41</x:v>
      </x:c>
      <x:c r="O4" s="233" t="n">
        <x:v>0.71</x:v>
      </x:c>
      <x:c r="P4" s="186"/>
      <x:c r="Q4" s="186"/>
      <x:c r="R4" s="186"/>
      <x:c r="S4" s="186"/>
      <x:c r="T4" s="186"/>
      <x:c r="U4" s="186"/>
      <x:c r="V4" s="186"/>
      <x:c r="W4" s="186"/>
      <x:c r="X4" s="186"/>
      <x:c r="Y4" s="186"/>
      <x:c r="Z4" s="186"/>
    </x:row>
    <x:row r="5">
      <x:c r="A5" s="186" t="str">
        <x:v>Base</x:v>
      </x:c>
      <x:c r="B5" s="186" t="n">
        <x:v>2027</x:v>
      </x:c>
      <x:c r="C5" s="230" t="n">
        <x:v>347.9</x:v>
      </x:c>
      <x:c r="D5" s="231" t="n">
        <x:v>0.16</x:v>
      </x:c>
      <x:c r="E5" s="230" t="n">
        <x:v>59.1</x:v>
      </x:c>
      <x:c r="F5" s="231" t="n">
        <x:v>0.17</x:v>
      </x:c>
      <x:c r="G5" s="230" t="n">
        <x:v>17.4</x:v>
      </x:c>
      <x:c r="H5" s="230" t="n">
        <x:v>9.7</x:v>
      </x:c>
      <x:c r="I5" s="230" t="n">
        <x:v>75</x:v>
      </x:c>
      <x:c r="J5" s="232" t="n">
        <x:v>0.059000000000000004</x:v>
      </x:c>
      <x:c r="K5" s="230" t="n">
        <x:v>4.4</x:v>
      </x:c>
      <x:c r="L5" s="230" t="n">
        <x:v>7</x:v>
      </x:c>
      <x:c r="M5" s="230" t="n">
        <x:v>32.1</x:v>
      </x:c>
      <x:c r="N5" s="233" t="n">
        <x:v>2.81</x:v>
      </x:c>
      <x:c r="O5" s="233" t="n">
        <x:v>0.46</x:v>
      </x:c>
      <x:c r="P5" s="186"/>
      <x:c r="Q5" s="186"/>
      <x:c r="R5" s="186"/>
      <x:c r="S5" s="186"/>
      <x:c r="T5" s="186"/>
      <x:c r="U5" s="186"/>
      <x:c r="V5" s="186"/>
      <x:c r="W5" s="186"/>
      <x:c r="X5" s="186"/>
      <x:c r="Y5" s="186"/>
      <x:c r="Z5" s="186"/>
    </x:row>
    <x:row r="6">
      <x:c r="A6" s="186" t="str">
        <x:v>Base</x:v>
      </x:c>
      <x:c r="B6" s="186" t="n">
        <x:v>2028</x:v>
      </x:c>
      <x:c r="C6" s="230" t="n">
        <x:v>396.9</x:v>
      </x:c>
      <x:c r="D6" s="231" t="n">
        <x:v>0.141</x:v>
      </x:c>
      <x:c r="E6" s="230" t="n">
        <x:v>73</x:v>
      </x:c>
      <x:c r="F6" s="231" t="n">
        <x:v>0.184</x:v>
      </x:c>
      <x:c r="G6" s="230" t="n">
        <x:v>19.8</x:v>
      </x:c>
      <x:c r="H6" s="230" t="n">
        <x:v>12.8</x:v>
      </x:c>
      <x:c r="I6" s="230" t="n">
        <x:v>68</x:v>
      </x:c>
      <x:c r="J6" s="232" t="n">
        <x:v>0.059000000000000004</x:v>
      </x:c>
      <x:c r="K6" s="230" t="n">
        <x:v>4</x:v>
      </x:c>
      <x:c r="L6" s="230" t="n">
        <x:v>8</x:v>
      </x:c>
      <x:c r="M6" s="230" t="n">
        <x:v>40.4</x:v>
      </x:c>
      <x:c r="N6" s="233" t="n">
        <x:v>3.37</x:v>
      </x:c>
      <x:c r="O6" s="233" t="n">
        <x:v>0.27</x:v>
      </x:c>
      <x:c r="P6" s="186"/>
      <x:c r="Q6" s="186"/>
      <x:c r="R6" s="186"/>
      <x:c r="S6" s="186"/>
      <x:c r="T6" s="186"/>
      <x:c r="U6" s="186"/>
      <x:c r="V6" s="186"/>
      <x:c r="W6" s="186"/>
      <x:c r="X6" s="186"/>
      <x:c r="Y6" s="186"/>
      <x:c r="Z6" s="186"/>
    </x:row>
    <x:row r="7">
      <x:c r="A7" s="186" t="str">
        <x:v>Downside</x:v>
      </x:c>
      <x:c r="B7" s="186" t="n">
        <x:v>2026</x:v>
      </x:c>
      <x:c r="C7" s="230" t="n">
        <x:v>275.4</x:v>
      </x:c>
      <x:c r="D7" s="231" t="n">
        <x:v>0.08</x:v>
      </x:c>
      <x:c r="E7" s="230" t="n">
        <x:v>30.3</x:v>
      </x:c>
      <x:c r="F7" s="231" t="n">
        <x:v>0.11</x:v>
      </x:c>
      <x:c r="G7" s="230" t="n">
        <x:v>13.8</x:v>
      </x:c>
      <x:c r="H7" s="230" t="n">
        <x:v>2.6</x:v>
      </x:c>
      <x:c r="I7" s="230" t="n">
        <x:v>80</x:v>
      </x:c>
      <x:c r="J7" s="232" t="n">
        <x:v>0.0725</x:v>
      </x:c>
      <x:c r="K7" s="230" t="n">
        <x:v>5.8</x:v>
      </x:c>
      <x:c r="L7" s="230" t="n">
        <x:v>5</x:v>
      </x:c>
      <x:c r="M7" s="230" t="n">
        <x:v>13.9</x:v>
      </x:c>
      <x:c r="N7" s="233" t="n">
        <x:v>1.29</x:v>
      </x:c>
      <x:c r="O7" s="233" t="n">
        <x:v>1.06</x:v>
      </x:c>
      <x:c r="P7" s="186"/>
      <x:c r="Q7" s="186"/>
      <x:c r="R7" s="186"/>
      <x:c r="S7" s="186"/>
      <x:c r="T7" s="186"/>
      <x:c r="U7" s="186"/>
      <x:c r="V7" s="186"/>
      <x:c r="W7" s="186"/>
      <x:c r="X7" s="186"/>
      <x:c r="Y7" s="186"/>
      <x:c r="Z7" s="186"/>
    </x:row>
    <x:row r="8">
      <x:c r="A8" s="186" t="str">
        <x:v>Downside</x:v>
      </x:c>
      <x:c r="B8" s="186" t="n">
        <x:v>2027</x:v>
      </x:c>
      <x:c r="C8" s="230" t="n">
        <x:v>291.9</x:v>
      </x:c>
      <x:c r="D8" s="231" t="n">
        <x:v>0.06</x:v>
      </x:c>
      <x:c r="E8" s="230" t="n">
        <x:v>35</x:v>
      </x:c>
      <x:c r="F8" s="231" t="n">
        <x:v>0.12</x:v>
      </x:c>
      <x:c r="G8" s="230" t="n">
        <x:v>14.6</x:v>
      </x:c>
      <x:c r="H8" s="230" t="n">
        <x:v>3.4</x:v>
      </x:c>
      <x:c r="I8" s="230" t="n">
        <x:v>75</x:v>
      </x:c>
      <x:c r="J8" s="232" t="n">
        <x:v>0.0725</x:v>
      </x:c>
      <x:c r="K8" s="230" t="n">
        <x:v>5.4</x:v>
      </x:c>
      <x:c r="L8" s="230" t="n">
        <x:v>7</x:v>
      </x:c>
      <x:c r="M8" s="230" t="n">
        <x:v>17</x:v>
      </x:c>
      <x:c r="N8" s="233" t="n">
        <x:v>1.37</x:v>
      </x:c>
      <x:c r="O8" s="233" t="n">
        <x:v>0.77</x:v>
      </x:c>
      <x:c r="P8" s="186"/>
      <x:c r="Q8" s="186"/>
      <x:c r="R8" s="186"/>
      <x:c r="S8" s="186"/>
      <x:c r="T8" s="186"/>
      <x:c r="U8" s="186"/>
      <x:c r="V8" s="186"/>
      <x:c r="W8" s="186"/>
      <x:c r="X8" s="186"/>
      <x:c r="Y8" s="186"/>
      <x:c r="Z8" s="186"/>
    </x:row>
    <x:row r="9">
      <x:c r="A9" s="186" t="str">
        <x:v>Downside</x:v>
      </x:c>
      <x:c r="B9" s="186" t="n">
        <x:v>2028</x:v>
      </x:c>
      <x:c r="C9" s="230" t="n">
        <x:v>306.5</x:v>
      </x:c>
      <x:c r="D9" s="231" t="n">
        <x:v>0.05</x:v>
      </x:c>
      <x:c r="E9" s="230" t="n">
        <x:v>39.8</x:v>
      </x:c>
      <x:c r="F9" s="231" t="n">
        <x:v>0.13</x:v>
      </x:c>
      <x:c r="G9" s="230" t="n">
        <x:v>15.3</x:v>
      </x:c>
      <x:c r="H9" s="230" t="n">
        <x:v>4.2</x:v>
      </x:c>
      <x:c r="I9" s="230" t="n">
        <x:v>68</x:v>
      </x:c>
      <x:c r="J9" s="232" t="n">
        <x:v>0.0725</x:v>
      </x:c>
      <x:c r="K9" s="230" t="n">
        <x:v>4.9</x:v>
      </x:c>
      <x:c r="L9" s="230" t="n">
        <x:v>8</x:v>
      </x:c>
      <x:c r="M9" s="230" t="n">
        <x:v>20.3</x:v>
      </x:c>
      <x:c r="N9" s="233" t="n">
        <x:v>1.57</x:v>
      </x:c>
      <x:c r="O9" s="233" t="n">
        <x:v>0.5</x:v>
      </x:c>
      <x:c r="P9" s="186"/>
      <x:c r="Q9" s="186"/>
      <x:c r="R9" s="186"/>
      <x:c r="S9" s="186"/>
      <x:c r="T9" s="186"/>
      <x:c r="U9" s="186"/>
      <x:c r="V9" s="186"/>
      <x:c r="W9" s="186"/>
      <x:c r="X9" s="186"/>
      <x:c r="Y9" s="186"/>
      <x:c r="Z9" s="186"/>
    </x:row>
    <x:row r="10">
      <x:c r="A10" s="186" t="str">
        <x:v>Upside</x:v>
      </x:c>
      <x:c r="B10" s="186" t="n">
        <x:v>2026</x:v>
      </x:c>
      <x:c r="C10" s="230" t="n">
        <x:v>311.1</x:v>
      </x:c>
      <x:c r="D10" s="231" t="n">
        <x:v>0.22</x:v>
      </x:c>
      <x:c r="E10" s="230" t="n">
        <x:v>49.8</x:v>
      </x:c>
      <x:c r="F10" s="231" t="n">
        <x:v>0.16</x:v>
      </x:c>
      <x:c r="G10" s="230" t="n">
        <x:v>15.6</x:v>
      </x:c>
      <x:c r="H10" s="230" t="n">
        <x:v>7.9</x:v>
      </x:c>
      <x:c r="I10" s="230" t="n">
        <x:v>80</x:v>
      </x:c>
      <x:c r="J10" s="232" t="n">
        <x:v>0.0525</x:v>
      </x:c>
      <x:c r="K10" s="230" t="n">
        <x:v>4.2</x:v>
      </x:c>
      <x:c r="L10" s="230" t="n">
        <x:v>5</x:v>
      </x:c>
      <x:c r="M10" s="230" t="n">
        <x:v>26.3</x:v>
      </x:c>
      <x:c r="N10" s="233" t="n">
        <x:v>2.86</x:v>
      </x:c>
      <x:c r="O10" s="233" t="n">
        <x:v>0.64</x:v>
      </x:c>
      <x:c r="P10" s="186"/>
      <x:c r="Q10" s="186"/>
      <x:c r="R10" s="186"/>
      <x:c r="S10" s="186"/>
      <x:c r="T10" s="186"/>
      <x:c r="U10" s="186"/>
      <x:c r="V10" s="186"/>
      <x:c r="W10" s="186"/>
      <x:c r="X10" s="186"/>
      <x:c r="Y10" s="186"/>
      <x:c r="Z10" s="186"/>
    </x:row>
    <x:row r="11">
      <x:c r="A11" s="186" t="str">
        <x:v>Upside</x:v>
      </x:c>
      <x:c r="B11" s="186" t="n">
        <x:v>2027</x:v>
      </x:c>
      <x:c r="C11" s="230" t="n">
        <x:v>373.3</x:v>
      </x:c>
      <x:c r="D11" s="231" t="n">
        <x:v>0.2</x:v>
      </x:c>
      <x:c r="E11" s="230" t="n">
        <x:v>70.9</x:v>
      </x:c>
      <x:c r="F11" s="231" t="n">
        <x:v>0.19</x:v>
      </x:c>
      <x:c r="G11" s="230" t="n">
        <x:v>18.7</x:v>
      </x:c>
      <x:c r="H11" s="230" t="n">
        <x:v>12.7</x:v>
      </x:c>
      <x:c r="I11" s="230" t="n">
        <x:v>75</x:v>
      </x:c>
      <x:c r="J11" s="232" t="n">
        <x:v>0.0525</x:v>
      </x:c>
      <x:c r="K11" s="230" t="n">
        <x:v>3.9</x:v>
      </x:c>
      <x:c r="L11" s="230" t="n">
        <x:v>7</x:v>
      </x:c>
      <x:c r="M11" s="230" t="n">
        <x:v>39.5</x:v>
      </x:c>
      <x:c r="N11" s="233" t="n">
        <x:v>3.61</x:v>
      </x:c>
      <x:c r="O11" s="233" t="n">
        <x:v>0.38</x:v>
      </x:c>
      <x:c r="P11" s="186"/>
      <x:c r="Q11" s="186"/>
      <x:c r="R11" s="186"/>
      <x:c r="S11" s="186"/>
      <x:c r="T11" s="186"/>
      <x:c r="U11" s="186"/>
      <x:c r="V11" s="186"/>
      <x:c r="W11" s="186"/>
      <x:c r="X11" s="186"/>
      <x:c r="Y11" s="186"/>
      <x:c r="Z11" s="186"/>
    </x:row>
    <x:row r="12">
      <x:c r="A12" s="186" t="str">
        <x:v>Upside</x:v>
      </x:c>
      <x:c r="B12" s="186" t="n">
        <x:v>2028</x:v>
      </x:c>
      <x:c r="C12" s="230" t="n">
        <x:v>436.8</x:v>
      </x:c>
      <x:c r="D12" s="231" t="n">
        <x:v>0.17</x:v>
      </x:c>
      <x:c r="E12" s="230" t="n">
        <x:v>91.7</x:v>
      </x:c>
      <x:c r="F12" s="231" t="n">
        <x:v>0.21</x:v>
      </x:c>
      <x:c r="G12" s="230" t="n">
        <x:v>21.8</x:v>
      </x:c>
      <x:c r="H12" s="230" t="n">
        <x:v>17.5</x:v>
      </x:c>
      <x:c r="I12" s="230" t="n">
        <x:v>68</x:v>
      </x:c>
      <x:c r="J12" s="232" t="n">
        <x:v>0.0525</x:v>
      </x:c>
      <x:c r="K12" s="230" t="n">
        <x:v>3.6</x:v>
      </x:c>
      <x:c r="L12" s="230" t="n">
        <x:v>8</x:v>
      </x:c>
      <x:c r="M12" s="230" t="n">
        <x:v>52.3</x:v>
      </x:c>
      <x:c r="N12" s="233" t="n">
        <x:v>4.52</x:v>
      </x:c>
      <x:c r="O12" s="233" t="n">
        <x:v>0.22</x:v>
      </x:c>
      <x:c r="P12" s="186"/>
      <x:c r="Q12" s="186"/>
      <x:c r="R12" s="186"/>
      <x:c r="S12" s="186"/>
      <x:c r="T12" s="186"/>
      <x:c r="U12" s="186"/>
      <x:c r="V12" s="186"/>
      <x:c r="W12" s="186"/>
      <x:c r="X12" s="186"/>
      <x:c r="Y12" s="186"/>
      <x:c r="Z12" s="186"/>
    </x:row>
    <x:row r="13">
      <x:c r="A13" s="186"/>
      <x:c r="B13" s="186"/>
      <x:c r="C13" s="186"/>
      <x:c r="D13" s="186"/>
      <x:c r="E13" s="186"/>
      <x:c r="F13" s="186"/>
      <x:c r="G13" s="186"/>
      <x:c r="H13" s="186"/>
      <x:c r="I13" s="186"/>
      <x:c r="J13" s="186"/>
      <x:c r="K13" s="186"/>
      <x:c r="L13" s="186"/>
      <x:c r="M13" s="186"/>
      <x:c r="N13" s="186"/>
      <x:c r="O13" s="186"/>
      <x:c r="P13" s="186"/>
      <x:c r="Q13" s="186"/>
      <x:c r="R13" s="186"/>
      <x:c r="S13" s="186"/>
      <x:c r="T13" s="186"/>
      <x:c r="U13" s="186"/>
      <x:c r="V13" s="186"/>
      <x:c r="W13" s="186"/>
      <x:c r="X13" s="186"/>
      <x:c r="Y13" s="186"/>
      <x:c r="Z13" s="186"/>
    </x:row>
    <x:row r="14">
      <x:c r="A14" s="186"/>
      <x:c r="B14" s="186"/>
      <x:c r="C14" s="186"/>
      <x:c r="D14" s="186"/>
      <x:c r="E14" s="186"/>
      <x:c r="F14" s="186"/>
      <x:c r="G14" s="186"/>
      <x:c r="H14" s="186"/>
      <x:c r="I14" s="186"/>
      <x:c r="J14" s="186"/>
      <x:c r="K14" s="186"/>
      <x:c r="L14" s="186"/>
      <x:c r="M14" s="186"/>
      <x:c r="N14" s="186"/>
      <x:c r="O14" s="186"/>
      <x:c r="P14" s="186"/>
      <x:c r="Q14" s="186"/>
      <x:c r="R14" s="186"/>
      <x:c r="S14" s="186"/>
      <x:c r="T14" s="186"/>
      <x:c r="U14" s="186"/>
      <x:c r="V14" s="186"/>
      <x:c r="W14" s="186"/>
      <x:c r="X14" s="186"/>
      <x:c r="Y14" s="186"/>
      <x:c r="Z14" s="186"/>
    </x:row>
    <x:row r="15">
      <x:c r="A15" s="186"/>
      <x:c r="B15" s="186"/>
      <x:c r="C15" s="186"/>
      <x:c r="D15" s="186"/>
      <x:c r="E15" s="186"/>
      <x:c r="F15" s="186"/>
      <x:c r="G15" s="186"/>
      <x:c r="H15" s="186"/>
      <x:c r="I15" s="186"/>
      <x:c r="J15" s="186"/>
      <x:c r="K15" s="186"/>
      <x:c r="L15" s="186"/>
      <x:c r="M15" s="186"/>
      <x:c r="N15" s="186"/>
      <x:c r="O15" s="186"/>
      <x:c r="P15" s="186"/>
      <x:c r="Q15" s="186"/>
      <x:c r="R15" s="186"/>
      <x:c r="S15" s="186"/>
      <x:c r="T15" s="186"/>
      <x:c r="U15" s="186"/>
      <x:c r="V15" s="186"/>
      <x:c r="W15" s="186"/>
      <x:c r="X15" s="186"/>
      <x:c r="Y15" s="186"/>
      <x:c r="Z15" s="186"/>
    </x:row>
    <x:row r="16">
      <x:c r="A16" s="186"/>
      <x:c r="B16" s="186"/>
      <x:c r="C16" s="186"/>
      <x:c r="D16" s="186"/>
      <x:c r="E16" s="186"/>
      <x:c r="F16" s="186"/>
      <x:c r="G16" s="186"/>
      <x:c r="H16" s="186"/>
      <x:c r="I16" s="186"/>
      <x:c r="J16" s="186"/>
      <x:c r="K16" s="186"/>
      <x:c r="L16" s="186"/>
      <x:c r="M16" s="186"/>
      <x:c r="N16" s="186"/>
      <x:c r="O16" s="186"/>
      <x:c r="P16" s="186"/>
      <x:c r="Q16" s="186"/>
      <x:c r="R16" s="186"/>
      <x:c r="S16" s="186"/>
      <x:c r="T16" s="186"/>
      <x:c r="U16" s="186"/>
      <x:c r="V16" s="186"/>
      <x:c r="W16" s="186"/>
      <x:c r="X16" s="186"/>
      <x:c r="Y16" s="186"/>
      <x:c r="Z16" s="186"/>
    </x:row>
    <x:row r="17">
      <x:c r="A17" s="186"/>
      <x:c r="B17" s="186"/>
      <x:c r="C17" s="186"/>
      <x:c r="D17" s="186"/>
      <x:c r="E17" s="186"/>
      <x:c r="F17" s="186"/>
      <x:c r="G17" s="186"/>
      <x:c r="H17" s="186"/>
      <x:c r="I17" s="186"/>
      <x:c r="J17" s="186"/>
      <x:c r="K17" s="186"/>
      <x:c r="L17" s="186"/>
      <x:c r="M17" s="186"/>
      <x:c r="N17" s="186"/>
      <x:c r="O17" s="186"/>
      <x:c r="P17" s="186"/>
      <x:c r="Q17" s="186"/>
      <x:c r="R17" s="186"/>
      <x:c r="S17" s="186"/>
      <x:c r="T17" s="186"/>
      <x:c r="U17" s="186"/>
      <x:c r="V17" s="186"/>
      <x:c r="W17" s="186"/>
      <x:c r="X17" s="186"/>
      <x:c r="Y17" s="186"/>
      <x:c r="Z17" s="186"/>
    </x:row>
    <x:row r="18">
      <x:c r="A18" s="186"/>
      <x:c r="B18" s="186"/>
      <x:c r="C18" s="186"/>
      <x:c r="D18" s="186"/>
      <x:c r="E18" s="186"/>
      <x:c r="F18" s="186"/>
      <x:c r="G18" s="186"/>
      <x:c r="H18" s="186"/>
      <x:c r="I18" s="186"/>
      <x:c r="J18" s="186"/>
      <x:c r="K18" s="186"/>
      <x:c r="L18" s="186"/>
      <x:c r="M18" s="186"/>
      <x:c r="N18" s="186"/>
      <x:c r="O18" s="186"/>
      <x:c r="P18" s="186"/>
      <x:c r="Q18" s="186"/>
      <x:c r="R18" s="186"/>
      <x:c r="S18" s="186"/>
      <x:c r="T18" s="186"/>
      <x:c r="U18" s="186"/>
      <x:c r="V18" s="186"/>
      <x:c r="W18" s="186"/>
      <x:c r="X18" s="186"/>
      <x:c r="Y18" s="186"/>
      <x:c r="Z18" s="186"/>
    </x:row>
    <x:row r="19">
      <x:c r="A19" s="186"/>
      <x:c r="B19" s="186"/>
      <x:c r="C19" s="186"/>
      <x:c r="D19" s="186"/>
      <x:c r="E19" s="186"/>
      <x:c r="F19" s="186"/>
      <x:c r="G19" s="186"/>
      <x:c r="H19" s="186"/>
      <x:c r="I19" s="186"/>
      <x:c r="J19" s="186"/>
      <x:c r="K19" s="186"/>
      <x:c r="L19" s="186"/>
      <x:c r="M19" s="186"/>
      <x:c r="N19" s="186"/>
      <x:c r="O19" s="186"/>
      <x:c r="P19" s="186"/>
      <x:c r="Q19" s="186"/>
      <x:c r="R19" s="186"/>
      <x:c r="S19" s="186"/>
      <x:c r="T19" s="186"/>
      <x:c r="U19" s="186"/>
      <x:c r="V19" s="186"/>
      <x:c r="W19" s="186"/>
      <x:c r="X19" s="186"/>
      <x:c r="Y19" s="186"/>
      <x:c r="Z19" s="186"/>
    </x:row>
    <x:row r="20">
      <x:c r="A20" s="186"/>
      <x:c r="B20" s="186"/>
      <x:c r="C20" s="186"/>
      <x:c r="D20" s="186"/>
      <x:c r="E20" s="186"/>
      <x:c r="F20" s="186"/>
      <x:c r="G20" s="186"/>
      <x:c r="H20" s="186"/>
      <x:c r="I20" s="186"/>
      <x:c r="J20" s="186"/>
      <x:c r="K20" s="186"/>
      <x:c r="L20" s="186"/>
      <x:c r="M20" s="186"/>
      <x:c r="N20" s="186"/>
      <x:c r="O20" s="186"/>
      <x:c r="P20" s="186"/>
      <x:c r="Q20" s="186"/>
      <x:c r="R20" s="186"/>
      <x:c r="S20" s="186"/>
      <x:c r="T20" s="186"/>
      <x:c r="U20" s="186"/>
      <x:c r="V20" s="186"/>
      <x:c r="W20" s="186"/>
      <x:c r="X20" s="186"/>
      <x:c r="Y20" s="186"/>
      <x:c r="Z20" s="186"/>
    </x:row>
    <x:row r="21">
      <x:c r="A21" s="186"/>
      <x:c r="B21" s="186"/>
      <x:c r="C21" s="186"/>
      <x:c r="D21" s="186"/>
      <x:c r="E21" s="186"/>
      <x:c r="F21" s="186"/>
      <x:c r="G21" s="186"/>
      <x:c r="H21" s="186"/>
      <x:c r="I21" s="186"/>
      <x:c r="J21" s="186"/>
      <x:c r="K21" s="186"/>
      <x:c r="L21" s="186"/>
      <x:c r="M21" s="186"/>
      <x:c r="N21" s="186"/>
      <x:c r="O21" s="186"/>
      <x:c r="P21" s="186"/>
      <x:c r="Q21" s="186"/>
      <x:c r="R21" s="186"/>
      <x:c r="S21" s="186"/>
      <x:c r="T21" s="186"/>
      <x:c r="U21" s="186"/>
      <x:c r="V21" s="186"/>
      <x:c r="W21" s="186"/>
      <x:c r="X21" s="186"/>
      <x:c r="Y21" s="186"/>
      <x:c r="Z21" s="186"/>
    </x:row>
    <x:row r="22">
      <x:c r="A22" s="186"/>
      <x:c r="B22" s="186"/>
      <x:c r="C22" s="186"/>
      <x:c r="D22" s="186"/>
      <x:c r="E22" s="186"/>
      <x:c r="F22" s="186"/>
      <x:c r="G22" s="186"/>
      <x:c r="H22" s="186"/>
      <x:c r="I22" s="186"/>
      <x:c r="J22" s="186"/>
      <x:c r="K22" s="186"/>
      <x:c r="L22" s="186"/>
      <x:c r="M22" s="186"/>
      <x:c r="N22" s="186"/>
      <x:c r="O22" s="186"/>
      <x:c r="P22" s="186"/>
      <x:c r="Q22" s="186"/>
      <x:c r="R22" s="186"/>
      <x:c r="S22" s="186"/>
      <x:c r="T22" s="186"/>
      <x:c r="U22" s="186"/>
      <x:c r="V22" s="186"/>
      <x:c r="W22" s="186"/>
      <x:c r="X22" s="186"/>
      <x:c r="Y22" s="186"/>
      <x:c r="Z22" s="186"/>
    </x:row>
    <x:row r="23">
      <x:c r="A23" s="186"/>
      <x:c r="B23" s="186"/>
      <x:c r="C23" s="186"/>
      <x:c r="D23" s="186"/>
      <x:c r="E23" s="186"/>
      <x:c r="F23" s="186"/>
      <x:c r="G23" s="186"/>
      <x:c r="H23" s="186"/>
      <x:c r="I23" s="186"/>
      <x:c r="J23" s="186"/>
      <x:c r="K23" s="186"/>
      <x:c r="L23" s="186"/>
      <x:c r="M23" s="186"/>
      <x:c r="N23" s="186"/>
      <x:c r="O23" s="186"/>
      <x:c r="P23" s="186"/>
      <x:c r="Q23" s="186"/>
      <x:c r="R23" s="186"/>
      <x:c r="S23" s="186"/>
      <x:c r="T23" s="186"/>
      <x:c r="U23" s="186"/>
      <x:c r="V23" s="186"/>
      <x:c r="W23" s="186"/>
      <x:c r="X23" s="186"/>
      <x:c r="Y23" s="186"/>
      <x:c r="Z23" s="186"/>
    </x:row>
    <x:row r="24">
      <x:c r="A24" s="186"/>
      <x:c r="B24" s="186"/>
      <x:c r="C24" s="186"/>
      <x:c r="D24" s="186"/>
      <x:c r="E24" s="186"/>
      <x:c r="F24" s="186"/>
      <x:c r="G24" s="186"/>
      <x:c r="H24" s="186"/>
      <x:c r="I24" s="186"/>
      <x:c r="J24" s="186"/>
      <x:c r="K24" s="186"/>
      <x:c r="L24" s="186"/>
      <x:c r="M24" s="186"/>
      <x:c r="N24" s="186"/>
      <x:c r="O24" s="186"/>
      <x:c r="P24" s="186"/>
      <x:c r="Q24" s="186"/>
      <x:c r="R24" s="186"/>
      <x:c r="S24" s="186"/>
      <x:c r="T24" s="186"/>
      <x:c r="U24" s="186"/>
      <x:c r="V24" s="186"/>
      <x:c r="W24" s="186"/>
      <x:c r="X24" s="186"/>
      <x:c r="Y24" s="186"/>
      <x:c r="Z24" s="186"/>
    </x:row>
    <x:row r="25">
      <x:c r="A25" s="186"/>
      <x:c r="B25" s="186"/>
      <x:c r="C25" s="186"/>
      <x:c r="D25" s="186"/>
      <x:c r="E25" s="186"/>
      <x:c r="F25" s="186"/>
      <x:c r="G25" s="186"/>
      <x:c r="H25" s="186"/>
      <x:c r="I25" s="186"/>
      <x:c r="J25" s="186"/>
      <x:c r="K25" s="186"/>
      <x:c r="L25" s="186"/>
      <x:c r="M25" s="186"/>
      <x:c r="N25" s="186"/>
      <x:c r="O25" s="186"/>
      <x:c r="P25" s="186"/>
      <x:c r="Q25" s="186"/>
      <x:c r="R25" s="186"/>
      <x:c r="S25" s="186"/>
      <x:c r="T25" s="186"/>
      <x:c r="U25" s="186"/>
      <x:c r="V25" s="186"/>
      <x:c r="W25" s="186"/>
      <x:c r="X25" s="186"/>
      <x:c r="Y25" s="186"/>
      <x:c r="Z25" s="186"/>
    </x:row>
    <x:row r="26">
      <x:c r="A26" s="186"/>
      <x:c r="B26" s="186"/>
      <x:c r="C26" s="186"/>
      <x:c r="D26" s="186"/>
      <x:c r="E26" s="186"/>
      <x:c r="F26" s="186"/>
      <x:c r="G26" s="186"/>
      <x:c r="H26" s="186"/>
      <x:c r="I26" s="186"/>
      <x:c r="J26" s="186"/>
      <x:c r="K26" s="186"/>
      <x:c r="L26" s="186"/>
      <x:c r="M26" s="186"/>
      <x:c r="N26" s="186"/>
      <x:c r="O26" s="186"/>
      <x:c r="P26" s="186"/>
      <x:c r="Q26" s="186"/>
      <x:c r="R26" s="186"/>
      <x:c r="S26" s="186"/>
      <x:c r="T26" s="186"/>
      <x:c r="U26" s="186"/>
      <x:c r="V26" s="186"/>
      <x:c r="W26" s="186"/>
      <x:c r="X26" s="186"/>
      <x:c r="Y26" s="186"/>
      <x:c r="Z26" s="186"/>
    </x:row>
    <x:row r="27">
      <x:c r="A27" s="186"/>
      <x:c r="B27" s="186"/>
      <x:c r="C27" s="186"/>
      <x:c r="D27" s="186"/>
      <x:c r="E27" s="186"/>
      <x:c r="F27" s="186"/>
      <x:c r="G27" s="186"/>
      <x:c r="H27" s="186"/>
      <x:c r="I27" s="186"/>
      <x:c r="J27" s="186"/>
      <x:c r="K27" s="186"/>
      <x:c r="L27" s="186"/>
      <x:c r="M27" s="186"/>
      <x:c r="N27" s="186"/>
      <x:c r="O27" s="186"/>
      <x:c r="P27" s="186"/>
      <x:c r="Q27" s="186"/>
      <x:c r="R27" s="186"/>
      <x:c r="S27" s="186"/>
      <x:c r="T27" s="186"/>
      <x:c r="U27" s="186"/>
      <x:c r="V27" s="186"/>
      <x:c r="W27" s="186"/>
      <x:c r="X27" s="186"/>
      <x:c r="Y27" s="186"/>
      <x:c r="Z27" s="186"/>
    </x:row>
    <x:row r="28">
      <x:c r="A28" s="186"/>
      <x:c r="B28" s="186"/>
      <x:c r="C28" s="186"/>
      <x:c r="D28" s="186"/>
      <x:c r="E28" s="186"/>
      <x:c r="F28" s="186"/>
      <x:c r="G28" s="186"/>
      <x:c r="H28" s="186"/>
      <x:c r="I28" s="186"/>
      <x:c r="J28" s="186"/>
      <x:c r="K28" s="186"/>
      <x:c r="L28" s="186"/>
      <x:c r="M28" s="186"/>
      <x:c r="N28" s="186"/>
      <x:c r="O28" s="186"/>
      <x:c r="P28" s="186"/>
      <x:c r="Q28" s="186"/>
      <x:c r="R28" s="186"/>
      <x:c r="S28" s="186"/>
      <x:c r="T28" s="186"/>
      <x:c r="U28" s="186"/>
      <x:c r="V28" s="186"/>
      <x:c r="W28" s="186"/>
      <x:c r="X28" s="186"/>
      <x:c r="Y28" s="186"/>
      <x:c r="Z28" s="186"/>
    </x:row>
    <x:row r="29">
      <x:c r="A29" s="186"/>
      <x:c r="B29" s="186"/>
      <x:c r="C29" s="186"/>
      <x:c r="D29" s="186"/>
      <x:c r="E29" s="186"/>
      <x:c r="F29" s="186"/>
      <x:c r="G29" s="186"/>
      <x:c r="H29" s="186"/>
      <x:c r="I29" s="186"/>
      <x:c r="J29" s="186"/>
      <x:c r="K29" s="186"/>
      <x:c r="L29" s="186"/>
      <x:c r="M29" s="186"/>
      <x:c r="N29" s="186"/>
      <x:c r="O29" s="186"/>
      <x:c r="P29" s="186"/>
      <x:c r="Q29" s="186"/>
      <x:c r="R29" s="186"/>
      <x:c r="S29" s="186"/>
      <x:c r="T29" s="186"/>
      <x:c r="U29" s="186"/>
      <x:c r="V29" s="186"/>
      <x:c r="W29" s="186"/>
      <x:c r="X29" s="186"/>
      <x:c r="Y29" s="186"/>
      <x:c r="Z29" s="186"/>
    </x:row>
    <x:row r="30">
      <x:c r="A30" s="186"/>
      <x:c r="B30" s="186"/>
      <x:c r="C30" s="186"/>
      <x:c r="D30" s="186"/>
      <x:c r="E30" s="186"/>
      <x:c r="F30" s="186"/>
      <x:c r="G30" s="186"/>
      <x:c r="H30" s="186"/>
      <x:c r="I30" s="186"/>
      <x:c r="J30" s="186"/>
      <x:c r="K30" s="186"/>
      <x:c r="L30" s="186"/>
      <x:c r="M30" s="186"/>
      <x:c r="N30" s="186"/>
      <x:c r="O30" s="186"/>
      <x:c r="P30" s="186"/>
      <x:c r="Q30" s="186"/>
      <x:c r="R30" s="186"/>
      <x:c r="S30" s="186"/>
      <x:c r="T30" s="186"/>
      <x:c r="U30" s="186"/>
      <x:c r="V30" s="186"/>
      <x:c r="W30" s="186"/>
      <x:c r="X30" s="186"/>
      <x:c r="Y30" s="186"/>
      <x:c r="Z30" s="186"/>
    </x:row>
    <x:row r="31">
      <x:c r="A31" s="186"/>
      <x:c r="B31" s="186"/>
      <x:c r="C31" s="186"/>
      <x:c r="D31" s="186"/>
      <x:c r="E31" s="186"/>
      <x:c r="F31" s="186"/>
      <x:c r="G31" s="186"/>
      <x:c r="H31" s="186"/>
      <x:c r="I31" s="186"/>
      <x:c r="J31" s="186"/>
      <x:c r="K31" s="186"/>
      <x:c r="L31" s="186"/>
      <x:c r="M31" s="186"/>
      <x:c r="N31" s="186"/>
      <x:c r="O31" s="186"/>
      <x:c r="P31" s="186"/>
      <x:c r="Q31" s="186"/>
      <x:c r="R31" s="186"/>
      <x:c r="S31" s="186"/>
      <x:c r="T31" s="186"/>
      <x:c r="U31" s="186"/>
      <x:c r="V31" s="186"/>
      <x:c r="W31" s="186"/>
      <x:c r="X31" s="186"/>
      <x:c r="Y31" s="186"/>
      <x:c r="Z31" s="186"/>
    </x:row>
    <x:row r="32">
      <x:c r="A32" s="186"/>
      <x:c r="B32" s="186"/>
      <x:c r="C32" s="186"/>
      <x:c r="D32" s="186"/>
      <x:c r="E32" s="186"/>
      <x:c r="F32" s="186"/>
      <x:c r="G32" s="186"/>
      <x:c r="H32" s="186"/>
      <x:c r="I32" s="186"/>
      <x:c r="J32" s="186"/>
      <x:c r="K32" s="186"/>
      <x:c r="L32" s="186"/>
      <x:c r="M32" s="186"/>
      <x:c r="N32" s="186"/>
      <x:c r="O32" s="186"/>
      <x:c r="P32" s="186"/>
      <x:c r="Q32" s="186"/>
      <x:c r="R32" s="186"/>
      <x:c r="S32" s="186"/>
      <x:c r="T32" s="186"/>
      <x:c r="U32" s="186"/>
      <x:c r="V32" s="186"/>
      <x:c r="W32" s="186"/>
      <x:c r="X32" s="186"/>
      <x:c r="Y32" s="186"/>
      <x:c r="Z32" s="186"/>
    </x:row>
    <x:row r="33">
      <x:c r="A33" s="186"/>
      <x:c r="B33" s="186"/>
      <x:c r="C33" s="186"/>
      <x:c r="D33" s="186"/>
      <x:c r="E33" s="186"/>
      <x:c r="F33" s="186"/>
      <x:c r="G33" s="186"/>
      <x:c r="H33" s="186"/>
      <x:c r="I33" s="186"/>
      <x:c r="J33" s="186"/>
      <x:c r="K33" s="186"/>
      <x:c r="L33" s="186"/>
      <x:c r="M33" s="186"/>
      <x:c r="N33" s="186"/>
      <x:c r="O33" s="186"/>
      <x:c r="P33" s="186"/>
      <x:c r="Q33" s="186"/>
      <x:c r="R33" s="186"/>
      <x:c r="S33" s="186"/>
      <x:c r="T33" s="186"/>
      <x:c r="U33" s="186"/>
      <x:c r="V33" s="186"/>
      <x:c r="W33" s="186"/>
      <x:c r="X33" s="186"/>
      <x:c r="Y33" s="186"/>
      <x:c r="Z33" s="186"/>
    </x:row>
    <x:row r="34">
      <x:c r="A34" s="186"/>
      <x:c r="B34" s="186"/>
      <x:c r="C34" s="186"/>
      <x:c r="D34" s="186"/>
      <x:c r="E34" s="186"/>
      <x:c r="F34" s="186"/>
      <x:c r="G34" s="186"/>
      <x:c r="H34" s="186"/>
      <x:c r="I34" s="186"/>
      <x:c r="J34" s="186"/>
      <x:c r="K34" s="186"/>
      <x:c r="L34" s="186"/>
      <x:c r="M34" s="186"/>
      <x:c r="N34" s="186"/>
      <x:c r="O34" s="186"/>
      <x:c r="P34" s="186"/>
      <x:c r="Q34" s="186"/>
      <x:c r="R34" s="186"/>
      <x:c r="S34" s="186"/>
      <x:c r="T34" s="186"/>
      <x:c r="U34" s="186"/>
      <x:c r="V34" s="186"/>
      <x:c r="W34" s="186"/>
      <x:c r="X34" s="186"/>
      <x:c r="Y34" s="186"/>
      <x:c r="Z34" s="186"/>
    </x:row>
    <x:row r="35">
      <x:c r="A35" s="186"/>
      <x:c r="B35" s="186"/>
      <x:c r="C35" s="186"/>
      <x:c r="D35" s="186"/>
      <x:c r="E35" s="186"/>
      <x:c r="F35" s="186"/>
      <x:c r="G35" s="186"/>
      <x:c r="H35" s="186"/>
      <x:c r="I35" s="186"/>
      <x:c r="J35" s="186"/>
      <x:c r="K35" s="186"/>
      <x:c r="L35" s="186"/>
      <x:c r="M35" s="186"/>
      <x:c r="N35" s="186"/>
      <x:c r="O35" s="186"/>
      <x:c r="P35" s="186"/>
      <x:c r="Q35" s="186"/>
      <x:c r="R35" s="186"/>
      <x:c r="S35" s="186"/>
      <x:c r="T35" s="186"/>
      <x:c r="U35" s="186"/>
      <x:c r="V35" s="186"/>
      <x:c r="W35" s="186"/>
      <x:c r="X35" s="186"/>
      <x:c r="Y35" s="186"/>
      <x:c r="Z35" s="186"/>
    </x:row>
    <x:row r="36">
      <x:c r="A36" s="186"/>
      <x:c r="B36" s="186"/>
      <x:c r="C36" s="186"/>
      <x:c r="D36" s="186"/>
      <x:c r="E36" s="186"/>
      <x:c r="F36" s="186"/>
      <x:c r="G36" s="186"/>
      <x:c r="H36" s="186"/>
      <x:c r="I36" s="186"/>
      <x:c r="J36" s="186"/>
      <x:c r="K36" s="186"/>
      <x:c r="L36" s="186"/>
      <x:c r="M36" s="186"/>
      <x:c r="N36" s="186"/>
      <x:c r="O36" s="186"/>
      <x:c r="P36" s="186"/>
      <x:c r="Q36" s="186"/>
      <x:c r="R36" s="186"/>
      <x:c r="S36" s="186"/>
      <x:c r="T36" s="186"/>
      <x:c r="U36" s="186"/>
      <x:c r="V36" s="186"/>
      <x:c r="W36" s="186"/>
      <x:c r="X36" s="186"/>
      <x:c r="Y36" s="186"/>
      <x:c r="Z36" s="186"/>
    </x:row>
    <x:row r="37">
      <x:c r="A37" s="186"/>
      <x:c r="B37" s="186"/>
      <x:c r="C37" s="186"/>
      <x:c r="D37" s="186"/>
      <x:c r="E37" s="186"/>
      <x:c r="F37" s="186"/>
      <x:c r="G37" s="186"/>
      <x:c r="H37" s="186"/>
      <x:c r="I37" s="186"/>
      <x:c r="J37" s="186"/>
      <x:c r="K37" s="186"/>
      <x:c r="L37" s="186"/>
      <x:c r="M37" s="186"/>
      <x:c r="N37" s="186"/>
      <x:c r="O37" s="186"/>
      <x:c r="P37" s="186"/>
      <x:c r="Q37" s="186"/>
      <x:c r="R37" s="186"/>
      <x:c r="S37" s="186"/>
      <x:c r="T37" s="186"/>
      <x:c r="U37" s="186"/>
      <x:c r="V37" s="186"/>
      <x:c r="W37" s="186"/>
      <x:c r="X37" s="186"/>
      <x:c r="Y37" s="186"/>
      <x:c r="Z37" s="186"/>
    </x:row>
    <x:row r="38">
      <x:c r="A38" s="186"/>
      <x:c r="B38" s="186"/>
      <x:c r="C38" s="186"/>
      <x:c r="D38" s="186"/>
      <x:c r="E38" s="186"/>
      <x:c r="F38" s="186"/>
      <x:c r="G38" s="186"/>
      <x:c r="H38" s="186"/>
      <x:c r="I38" s="186"/>
      <x:c r="J38" s="186"/>
      <x:c r="K38" s="186"/>
      <x:c r="L38" s="186"/>
      <x:c r="M38" s="186"/>
      <x:c r="N38" s="186"/>
      <x:c r="O38" s="186"/>
      <x:c r="P38" s="186"/>
      <x:c r="Q38" s="186"/>
      <x:c r="R38" s="186"/>
      <x:c r="S38" s="186"/>
      <x:c r="T38" s="186"/>
      <x:c r="U38" s="186"/>
      <x:c r="V38" s="186"/>
      <x:c r="W38" s="186"/>
      <x:c r="X38" s="186"/>
      <x:c r="Y38" s="186"/>
      <x:c r="Z38" s="186"/>
    </x:row>
    <x:row r="39">
      <x:c r="A39" s="186"/>
      <x:c r="B39" s="186"/>
      <x:c r="C39" s="186"/>
      <x:c r="D39" s="186"/>
      <x:c r="E39" s="186"/>
      <x:c r="F39" s="186"/>
      <x:c r="G39" s="186"/>
      <x:c r="H39" s="186"/>
      <x:c r="I39" s="186"/>
      <x:c r="J39" s="186"/>
      <x:c r="K39" s="186"/>
      <x:c r="L39" s="186"/>
      <x:c r="M39" s="186"/>
      <x:c r="N39" s="186"/>
      <x:c r="O39" s="186"/>
      <x:c r="P39" s="186"/>
      <x:c r="Q39" s="186"/>
      <x:c r="R39" s="186"/>
      <x:c r="S39" s="186"/>
      <x:c r="T39" s="186"/>
      <x:c r="U39" s="186"/>
      <x:c r="V39" s="186"/>
      <x:c r="W39" s="186"/>
      <x:c r="X39" s="186"/>
      <x:c r="Y39" s="186"/>
      <x:c r="Z39" s="186"/>
    </x:row>
    <x:row r="40">
      <x:c r="A40" s="186"/>
      <x:c r="B40" s="186"/>
      <x:c r="C40" s="186"/>
      <x:c r="D40" s="186"/>
      <x:c r="E40" s="186"/>
      <x:c r="F40" s="186"/>
      <x:c r="G40" s="186"/>
      <x:c r="H40" s="186"/>
      <x:c r="I40" s="186"/>
      <x:c r="J40" s="186"/>
      <x:c r="K40" s="186"/>
      <x:c r="L40" s="186"/>
      <x:c r="M40" s="186"/>
      <x:c r="N40" s="186"/>
      <x:c r="O40" s="186"/>
      <x:c r="P40" s="186"/>
      <x:c r="Q40" s="186"/>
      <x:c r="R40" s="186"/>
      <x:c r="S40" s="186"/>
      <x:c r="T40" s="186"/>
      <x:c r="U40" s="186"/>
      <x:c r="V40" s="186"/>
      <x:c r="W40" s="186"/>
      <x:c r="X40" s="186"/>
      <x:c r="Y40" s="186"/>
      <x:c r="Z40" s="186"/>
    </x:row>
    <x:row r="41">
      <x:c r="A41" s="186"/>
      <x:c r="B41" s="186"/>
      <x:c r="C41" s="186"/>
      <x:c r="D41" s="186"/>
      <x:c r="E41" s="186"/>
      <x:c r="F41" s="186"/>
      <x:c r="G41" s="186"/>
      <x:c r="H41" s="186"/>
      <x:c r="I41" s="186"/>
      <x:c r="J41" s="186"/>
      <x:c r="K41" s="186"/>
      <x:c r="L41" s="186"/>
      <x:c r="M41" s="186"/>
      <x:c r="N41" s="186"/>
      <x:c r="O41" s="186"/>
      <x:c r="P41" s="186"/>
      <x:c r="Q41" s="186"/>
      <x:c r="R41" s="186"/>
      <x:c r="S41" s="186"/>
      <x:c r="T41" s="186"/>
      <x:c r="U41" s="186"/>
      <x:c r="V41" s="186"/>
      <x:c r="W41" s="186"/>
      <x:c r="X41" s="186"/>
      <x:c r="Y41" s="186"/>
      <x:c r="Z41" s="186"/>
    </x:row>
    <x:row r="42">
      <x:c r="A42" s="186"/>
      <x:c r="B42" s="186"/>
      <x:c r="C42" s="186"/>
      <x:c r="D42" s="186"/>
      <x:c r="E42" s="186"/>
      <x:c r="F42" s="186"/>
      <x:c r="G42" s="186"/>
      <x:c r="H42" s="186"/>
      <x:c r="I42" s="186"/>
      <x:c r="J42" s="186"/>
      <x:c r="K42" s="186"/>
      <x:c r="L42" s="186"/>
      <x:c r="M42" s="186"/>
      <x:c r="N42" s="186"/>
      <x:c r="O42" s="186"/>
      <x:c r="P42" s="186"/>
      <x:c r="Q42" s="186"/>
      <x:c r="R42" s="186"/>
      <x:c r="S42" s="186"/>
      <x:c r="T42" s="186"/>
      <x:c r="U42" s="186"/>
      <x:c r="V42" s="186"/>
      <x:c r="W42" s="186"/>
      <x:c r="X42" s="186"/>
      <x:c r="Y42" s="186"/>
      <x:c r="Z42" s="186"/>
    </x:row>
    <x:row r="43">
      <x:c r="A43" s="186"/>
      <x:c r="B43" s="186"/>
      <x:c r="C43" s="186"/>
      <x:c r="D43" s="186"/>
      <x:c r="E43" s="186"/>
      <x:c r="F43" s="186"/>
      <x:c r="G43" s="186"/>
      <x:c r="H43" s="186"/>
      <x:c r="I43" s="186"/>
      <x:c r="J43" s="186"/>
      <x:c r="K43" s="186"/>
      <x:c r="L43" s="186"/>
      <x:c r="M43" s="186"/>
      <x:c r="N43" s="186"/>
      <x:c r="O43" s="186"/>
      <x:c r="P43" s="186"/>
      <x:c r="Q43" s="186"/>
      <x:c r="R43" s="186"/>
      <x:c r="S43" s="186"/>
      <x:c r="T43" s="186"/>
      <x:c r="U43" s="186"/>
      <x:c r="V43" s="186"/>
      <x:c r="W43" s="186"/>
      <x:c r="X43" s="186"/>
      <x:c r="Y43" s="186"/>
      <x:c r="Z43" s="186"/>
    </x:row>
    <x:row r="44">
      <x:c r="A44" s="186"/>
      <x:c r="B44" s="186"/>
      <x:c r="C44" s="186"/>
      <x:c r="D44" s="186"/>
      <x:c r="E44" s="186"/>
      <x:c r="F44" s="186"/>
      <x:c r="G44" s="186"/>
      <x:c r="H44" s="186"/>
      <x:c r="I44" s="186"/>
      <x:c r="J44" s="186"/>
      <x:c r="K44" s="186"/>
      <x:c r="L44" s="186"/>
      <x:c r="M44" s="186"/>
      <x:c r="N44" s="186"/>
      <x:c r="O44" s="186"/>
      <x:c r="P44" s="186"/>
      <x:c r="Q44" s="186"/>
      <x:c r="R44" s="186"/>
      <x:c r="S44" s="186"/>
      <x:c r="T44" s="186"/>
      <x:c r="U44" s="186"/>
      <x:c r="V44" s="186"/>
      <x:c r="W44" s="186"/>
      <x:c r="X44" s="186"/>
      <x:c r="Y44" s="186"/>
      <x:c r="Z44" s="186"/>
    </x:row>
    <x:row r="45">
      <x:c r="A45" s="186"/>
      <x:c r="B45" s="186"/>
      <x:c r="C45" s="186"/>
      <x:c r="D45" s="186"/>
      <x:c r="E45" s="186"/>
      <x:c r="F45" s="186"/>
      <x:c r="G45" s="186"/>
      <x:c r="H45" s="186"/>
      <x:c r="I45" s="186"/>
      <x:c r="J45" s="186"/>
      <x:c r="K45" s="186"/>
      <x:c r="L45" s="186"/>
      <x:c r="M45" s="186"/>
      <x:c r="N45" s="186"/>
      <x:c r="O45" s="186"/>
      <x:c r="P45" s="186"/>
      <x:c r="Q45" s="186"/>
      <x:c r="R45" s="186"/>
      <x:c r="S45" s="186"/>
      <x:c r="T45" s="186"/>
      <x:c r="U45" s="186"/>
      <x:c r="V45" s="186"/>
      <x:c r="W45" s="186"/>
      <x:c r="X45" s="186"/>
      <x:c r="Y45" s="186"/>
      <x:c r="Z45" s="186"/>
    </x:row>
    <x:row r="46">
      <x:c r="A46" s="186"/>
      <x:c r="B46" s="186"/>
      <x:c r="C46" s="186"/>
      <x:c r="D46" s="186"/>
      <x:c r="E46" s="186"/>
      <x:c r="F46" s="186"/>
      <x:c r="G46" s="186"/>
      <x:c r="H46" s="186"/>
      <x:c r="I46" s="186"/>
      <x:c r="J46" s="186"/>
      <x:c r="K46" s="186"/>
      <x:c r="L46" s="186"/>
      <x:c r="M46" s="186"/>
      <x:c r="N46" s="186"/>
      <x:c r="O46" s="186"/>
      <x:c r="P46" s="186"/>
      <x:c r="Q46" s="186"/>
      <x:c r="R46" s="186"/>
      <x:c r="S46" s="186"/>
      <x:c r="T46" s="186"/>
      <x:c r="U46" s="186"/>
      <x:c r="V46" s="186"/>
      <x:c r="W46" s="186"/>
      <x:c r="X46" s="186"/>
      <x:c r="Y46" s="186"/>
      <x:c r="Z46" s="186"/>
    </x:row>
    <x:row r="47">
      <x:c r="A47" s="186"/>
      <x:c r="B47" s="186"/>
      <x:c r="C47" s="186"/>
      <x:c r="D47" s="186"/>
      <x:c r="E47" s="186"/>
      <x:c r="F47" s="186"/>
      <x:c r="G47" s="186"/>
      <x:c r="H47" s="186"/>
      <x:c r="I47" s="186"/>
      <x:c r="J47" s="186"/>
      <x:c r="K47" s="186"/>
      <x:c r="L47" s="186"/>
      <x:c r="M47" s="186"/>
      <x:c r="N47" s="186"/>
      <x:c r="O47" s="186"/>
      <x:c r="P47" s="186"/>
      <x:c r="Q47" s="186"/>
      <x:c r="R47" s="186"/>
      <x:c r="S47" s="186"/>
      <x:c r="T47" s="186"/>
      <x:c r="U47" s="186"/>
      <x:c r="V47" s="186"/>
      <x:c r="W47" s="186"/>
      <x:c r="X47" s="186"/>
      <x:c r="Y47" s="186"/>
      <x:c r="Z47" s="186"/>
    </x:row>
    <x:row r="48">
      <x:c r="A48" s="186"/>
      <x:c r="B48" s="186"/>
      <x:c r="C48" s="186"/>
      <x:c r="D48" s="186"/>
      <x:c r="E48" s="186"/>
      <x:c r="F48" s="186"/>
      <x:c r="G48" s="186"/>
      <x:c r="H48" s="186"/>
      <x:c r="I48" s="186"/>
      <x:c r="J48" s="186"/>
      <x:c r="K48" s="186"/>
      <x:c r="L48" s="186"/>
      <x:c r="M48" s="186"/>
      <x:c r="N48" s="186"/>
      <x:c r="O48" s="186"/>
      <x:c r="P48" s="186"/>
      <x:c r="Q48" s="186"/>
      <x:c r="R48" s="186"/>
      <x:c r="S48" s="186"/>
      <x:c r="T48" s="186"/>
      <x:c r="U48" s="186"/>
      <x:c r="V48" s="186"/>
      <x:c r="W48" s="186"/>
      <x:c r="X48" s="186"/>
      <x:c r="Y48" s="186"/>
      <x:c r="Z48" s="186"/>
    </x:row>
    <x:row r="49">
      <x:c r="A49" s="186"/>
      <x:c r="B49" s="186"/>
      <x:c r="C49" s="186"/>
      <x:c r="D49" s="186"/>
      <x:c r="E49" s="186"/>
      <x:c r="F49" s="186"/>
      <x:c r="G49" s="186"/>
      <x:c r="H49" s="186"/>
      <x:c r="I49" s="186"/>
      <x:c r="J49" s="186"/>
      <x:c r="K49" s="186"/>
      <x:c r="L49" s="186"/>
      <x:c r="M49" s="186"/>
      <x:c r="N49" s="186"/>
      <x:c r="O49" s="186"/>
      <x:c r="P49" s="186"/>
      <x:c r="Q49" s="186"/>
      <x:c r="R49" s="186"/>
      <x:c r="S49" s="186"/>
      <x:c r="T49" s="186"/>
      <x:c r="U49" s="186"/>
      <x:c r="V49" s="186"/>
      <x:c r="W49" s="186"/>
      <x:c r="X49" s="186"/>
      <x:c r="Y49" s="186"/>
      <x:c r="Z49" s="186"/>
    </x:row>
    <x:row r="50">
      <x:c r="A50" s="186"/>
      <x:c r="B50" s="186"/>
      <x:c r="C50" s="186"/>
      <x:c r="D50" s="186"/>
      <x:c r="E50" s="186"/>
      <x:c r="F50" s="186"/>
      <x:c r="G50" s="186"/>
      <x:c r="H50" s="186"/>
      <x:c r="I50" s="186"/>
      <x:c r="J50" s="186"/>
      <x:c r="K50" s="186"/>
      <x:c r="L50" s="186"/>
      <x:c r="M50" s="186"/>
      <x:c r="N50" s="186"/>
      <x:c r="O50" s="186"/>
      <x:c r="P50" s="186"/>
      <x:c r="Q50" s="186"/>
      <x:c r="R50" s="186"/>
      <x:c r="S50" s="186"/>
      <x:c r="T50" s="186"/>
      <x:c r="U50" s="186"/>
      <x:c r="V50" s="186"/>
      <x:c r="W50" s="186"/>
      <x:c r="X50" s="186"/>
      <x:c r="Y50" s="186"/>
      <x:c r="Z50" s="186"/>
    </x:row>
  </x:sheetData>
  <x:mergeCells>
    <x:mergeCell ref="A1:O1"/>
  </x:mergeCells>
  <x:conditionalFormatting sqref="N4:N12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8" hidden="0" customWidth="1"/>
  </x:cols>
  <x:sheetData>
    <x:row r="1">
      <x:c r="A1" s="24" t="str">
        <x:v>AetherGrid Systems — Treasury, Payments &amp; FX Opportunity Assessment</x:v>
      </x:c>
      <x:c r="B1" s="24"/>
      <x:c r="C1" s="24"/>
      <x:c r="D1" s="24"/>
      <x:c r="E1" s="24"/>
      <x:c r="F1" s="24"/>
      <x:c r="G1" s="24"/>
      <x:c r="H1" s="24"/>
      <x:c r="I1" s="186"/>
      <x:c r="J1" s="186"/>
      <x:c r="K1" s="186"/>
      <x:c r="L1" s="186"/>
      <x:c r="M1" s="186"/>
      <x:c r="N1" s="186"/>
      <x:c r="O1" s="186"/>
      <x:c r="P1" s="186"/>
      <x:c r="Q1" s="186"/>
      <x:c r="R1" s="186"/>
      <x:c r="S1" s="186"/>
      <x:c r="T1" s="186"/>
      <x:c r="U1" s="186"/>
      <x:c r="V1" s="186"/>
      <x:c r="W1" s="186"/>
      <x:c r="X1" s="186"/>
      <x:c r="Y1" s="186"/>
      <x:c r="Z1" s="186"/>
    </x:row>
    <x:row r="2">
      <x:c r="A2" s="187"/>
      <x:c r="B2" s="187"/>
      <x:c r="C2" s="187"/>
      <x:c r="D2" s="187"/>
      <x:c r="E2" s="187"/>
      <x:c r="F2" s="187"/>
      <x:c r="G2" s="187"/>
      <x:c r="H2" s="187"/>
      <x:c r="I2" s="186"/>
      <x:c r="J2" s="186"/>
      <x:c r="K2" s="186"/>
      <x:c r="L2" s="186"/>
      <x:c r="M2" s="186"/>
      <x:c r="N2" s="186"/>
      <x:c r="O2" s="186"/>
      <x:c r="P2" s="186"/>
      <x:c r="Q2" s="186"/>
      <x:c r="R2" s="186"/>
      <x:c r="S2" s="186"/>
      <x:c r="T2" s="186"/>
      <x:c r="U2" s="186"/>
      <x:c r="V2" s="186"/>
      <x:c r="W2" s="186"/>
      <x:c r="X2" s="186"/>
      <x:c r="Y2" s="186"/>
      <x:c r="Z2" s="186"/>
    </x:row>
    <x:row r="3">
      <x:c r="A3" s="26" t="str">
        <x:v>Month</x:v>
      </x:c>
      <x:c r="B3" s="26" t="str">
        <x:v>Customer Collections ($MM)</x:v>
      </x:c>
      <x:c r="C3" s="26" t="str">
        <x:v>Vendor Payments ($MM)</x:v>
      </x:c>
      <x:c r="D3" s="26" t="str">
        <x:v>Wire Volume ($MM)</x:v>
      </x:c>
      <x:c r="E3" s="26" t="str">
        <x:v>ACH Volume ($MM)</x:v>
      </x:c>
      <x:c r="F3" s="26" t="str">
        <x:v>FX Notional ($MM)</x:v>
      </x:c>
      <x:c r="G3" s="26" t="str">
        <x:v>Avg Operating Cash ($MM)</x:v>
      </x:c>
      <x:c r="H3" s="26" t="str">
        <x:v>Primary Observation</x:v>
      </x:c>
      <x:c r="I3" s="186"/>
      <x:c r="J3" s="186"/>
      <x:c r="K3" s="186"/>
      <x:c r="L3" s="186"/>
      <x:c r="M3" s="186"/>
      <x:c r="N3" s="186"/>
      <x:c r="O3" s="186"/>
      <x:c r="P3" s="186"/>
      <x:c r="Q3" s="186"/>
      <x:c r="R3" s="186"/>
      <x:c r="S3" s="186"/>
      <x:c r="T3" s="186"/>
      <x:c r="U3" s="186"/>
      <x:c r="V3" s="186"/>
      <x:c r="W3" s="186"/>
      <x:c r="X3" s="186"/>
      <x:c r="Y3" s="186"/>
      <x:c r="Z3" s="186"/>
    </x:row>
    <x:row r="4">
      <x:c r="A4" s="187" t="str">
        <x:v>Jan</x:v>
      </x:c>
      <x:c r="B4" s="238" t="n">
        <x:v>20</x:v>
      </x:c>
      <x:c r="C4" s="238" t="n">
        <x:v>12.5</x:v>
      </x:c>
      <x:c r="D4" s="238" t="n">
        <x:v>1.8</x:v>
      </x:c>
      <x:c r="E4" s="238" t="n">
        <x:v>11.6</x:v>
      </x:c>
      <x:c r="F4" s="238" t="n">
        <x:v>3.6</x:v>
      </x:c>
      <x:c r="G4" s="238" t="n">
        <x:v>45</x:v>
      </x:c>
      <x:c r="H4" s="187" t="str">
        <x:v>Receivables automation</x:v>
      </x:c>
      <x:c r="I4" s="186"/>
      <x:c r="J4" s="186"/>
      <x:c r="K4" s="186"/>
      <x:c r="L4" s="186"/>
      <x:c r="M4" s="186"/>
      <x:c r="N4" s="186"/>
      <x:c r="O4" s="186"/>
      <x:c r="P4" s="186"/>
      <x:c r="Q4" s="186"/>
      <x:c r="R4" s="186"/>
      <x:c r="S4" s="186"/>
      <x:c r="T4" s="186"/>
      <x:c r="U4" s="186"/>
      <x:c r="V4" s="186"/>
      <x:c r="W4" s="186"/>
      <x:c r="X4" s="186"/>
      <x:c r="Y4" s="186"/>
      <x:c r="Z4" s="186"/>
    </x:row>
    <x:row r="5">
      <x:c r="A5" s="187" t="str">
        <x:v>Feb</x:v>
      </x:c>
      <x:c r="B5" s="238" t="n">
        <x:v>20.65</x:v>
      </x:c>
      <x:c r="C5" s="238" t="n">
        <x:v>12.85</x:v>
      </x:c>
      <x:c r="D5" s="238" t="n">
        <x:v>1.88</x:v>
      </x:c>
      <x:c r="E5" s="238" t="n">
        <x:v>11.98</x:v>
      </x:c>
      <x:c r="F5" s="238" t="n">
        <x:v>3.82</x:v>
      </x:c>
      <x:c r="G5" s="238" t="n">
        <x:v>46.2</x:v>
      </x:c>
      <x:c r="H5" s="187" t="str">
        <x:v>Receivables automation</x:v>
      </x:c>
      <x:c r="I5" s="186"/>
      <x:c r="J5" s="186"/>
      <x:c r="K5" s="186"/>
      <x:c r="L5" s="186"/>
      <x:c r="M5" s="186"/>
      <x:c r="N5" s="186"/>
      <x:c r="O5" s="186"/>
      <x:c r="P5" s="186"/>
      <x:c r="Q5" s="186"/>
      <x:c r="R5" s="186"/>
      <x:c r="S5" s="186"/>
      <x:c r="T5" s="186"/>
      <x:c r="U5" s="186"/>
      <x:c r="V5" s="186"/>
      <x:c r="W5" s="186"/>
      <x:c r="X5" s="186"/>
      <x:c r="Y5" s="186"/>
      <x:c r="Z5" s="186"/>
    </x:row>
    <x:row r="6">
      <x:c r="A6" s="187" t="str">
        <x:v>Mar</x:v>
      </x:c>
      <x:c r="B6" s="238" t="n">
        <x:v>22.5</x:v>
      </x:c>
      <x:c r="C6" s="238" t="n">
        <x:v>13.2</x:v>
      </x:c>
      <x:c r="D6" s="238" t="n">
        <x:v>1.96</x:v>
      </x:c>
      <x:c r="E6" s="238" t="n">
        <x:v>13.05</x:v>
      </x:c>
      <x:c r="F6" s="238" t="n">
        <x:v>4.28</x:v>
      </x:c>
      <x:c r="G6" s="238" t="n">
        <x:v>47.4</x:v>
      </x:c>
      <x:c r="H6" s="187" t="str">
        <x:v>Receivables automation</x:v>
      </x:c>
      <x:c r="I6" s="186"/>
      <x:c r="J6" s="186"/>
      <x:c r="K6" s="186"/>
      <x:c r="L6" s="186"/>
      <x:c r="M6" s="186"/>
      <x:c r="N6" s="186"/>
      <x:c r="O6" s="186"/>
      <x:c r="P6" s="186"/>
      <x:c r="Q6" s="186"/>
      <x:c r="R6" s="186"/>
      <x:c r="S6" s="186"/>
      <x:c r="T6" s="186"/>
      <x:c r="U6" s="186"/>
      <x:c r="V6" s="186"/>
      <x:c r="W6" s="186"/>
      <x:c r="X6" s="186"/>
      <x:c r="Y6" s="186"/>
      <x:c r="Z6" s="186"/>
    </x:row>
    <x:row r="7">
      <x:c r="A7" s="187" t="str">
        <x:v>Apr</x:v>
      </x:c>
      <x:c r="B7" s="238" t="n">
        <x:v>21.95</x:v>
      </x:c>
      <x:c r="C7" s="238" t="n">
        <x:v>13.55</x:v>
      </x:c>
      <x:c r="D7" s="238" t="n">
        <x:v>2.04</x:v>
      </x:c>
      <x:c r="E7" s="238" t="n">
        <x:v>12.73</x:v>
      </x:c>
      <x:c r="F7" s="238" t="n">
        <x:v>4.28</x:v>
      </x:c>
      <x:c r="G7" s="238" t="n">
        <x:v>48.6</x:v>
      </x:c>
      <x:c r="H7" s="187" t="str">
        <x:v>Receivables automation</x:v>
      </x:c>
      <x:c r="I7" s="186"/>
      <x:c r="J7" s="186"/>
      <x:c r="K7" s="186"/>
      <x:c r="L7" s="186"/>
      <x:c r="M7" s="186"/>
      <x:c r="N7" s="186"/>
      <x:c r="O7" s="186"/>
      <x:c r="P7" s="186"/>
      <x:c r="Q7" s="186"/>
      <x:c r="R7" s="186"/>
      <x:c r="S7" s="186"/>
      <x:c r="T7" s="186"/>
      <x:c r="U7" s="186"/>
      <x:c r="V7" s="186"/>
      <x:c r="W7" s="186"/>
      <x:c r="X7" s="186"/>
      <x:c r="Y7" s="186"/>
      <x:c r="Z7" s="186"/>
    </x:row>
    <x:row r="8">
      <x:c r="A8" s="187" t="str">
        <x:v>May</x:v>
      </x:c>
      <x:c r="B8" s="238" t="n">
        <x:v>22.6</x:v>
      </x:c>
      <x:c r="C8" s="238" t="n">
        <x:v>13.9</x:v>
      </x:c>
      <x:c r="D8" s="238" t="n">
        <x:v>2.12</x:v>
      </x:c>
      <x:c r="E8" s="238" t="n">
        <x:v>13.11</x:v>
      </x:c>
      <x:c r="F8" s="238" t="n">
        <x:v>4.52</x:v>
      </x:c>
      <x:c r="G8" s="238" t="n">
        <x:v>49.8</x:v>
      </x:c>
      <x:c r="H8" s="187" t="str">
        <x:v>Receivables automation</x:v>
      </x:c>
      <x:c r="I8" s="186"/>
      <x:c r="J8" s="186"/>
      <x:c r="K8" s="186"/>
      <x:c r="L8" s="186"/>
      <x:c r="M8" s="186"/>
      <x:c r="N8" s="186"/>
      <x:c r="O8" s="186"/>
      <x:c r="P8" s="186"/>
      <x:c r="Q8" s="186"/>
      <x:c r="R8" s="186"/>
      <x:c r="S8" s="186"/>
      <x:c r="T8" s="186"/>
      <x:c r="U8" s="186"/>
      <x:c r="V8" s="186"/>
      <x:c r="W8" s="186"/>
      <x:c r="X8" s="186"/>
      <x:c r="Y8" s="186"/>
      <x:c r="Z8" s="186"/>
    </x:row>
    <x:row r="9">
      <x:c r="A9" s="187" t="str">
        <x:v>Jun</x:v>
      </x:c>
      <x:c r="B9" s="238" t="n">
        <x:v>24.45</x:v>
      </x:c>
      <x:c r="C9" s="238" t="n">
        <x:v>14.25</x:v>
      </x:c>
      <x:c r="D9" s="238" t="n">
        <x:v>2.2</x:v>
      </x:c>
      <x:c r="E9" s="238" t="n">
        <x:v>14.18</x:v>
      </x:c>
      <x:c r="F9" s="238" t="n">
        <x:v>5.01</x:v>
      </x:c>
      <x:c r="G9" s="238" t="n">
        <x:v>51</x:v>
      </x:c>
      <x:c r="H9" s="187" t="str">
        <x:v>FX opportunity rising</x:v>
      </x:c>
      <x:c r="I9" s="186"/>
      <x:c r="J9" s="186"/>
      <x:c r="K9" s="186"/>
      <x:c r="L9" s="186"/>
      <x:c r="M9" s="186"/>
      <x:c r="N9" s="186"/>
      <x:c r="O9" s="186"/>
      <x:c r="P9" s="186"/>
      <x:c r="Q9" s="186"/>
      <x:c r="R9" s="186"/>
      <x:c r="S9" s="186"/>
      <x:c r="T9" s="186"/>
      <x:c r="U9" s="186"/>
      <x:c r="V9" s="186"/>
      <x:c r="W9" s="186"/>
      <x:c r="X9" s="186"/>
      <x:c r="Y9" s="186"/>
      <x:c r="Z9" s="186"/>
    </x:row>
    <x:row r="10">
      <x:c r="A10" s="187" t="str">
        <x:v>Jul</x:v>
      </x:c>
      <x:c r="B10" s="238" t="n">
        <x:v>23.9</x:v>
      </x:c>
      <x:c r="C10" s="238" t="n">
        <x:v>14.6</x:v>
      </x:c>
      <x:c r="D10" s="238" t="n">
        <x:v>2.28</x:v>
      </x:c>
      <x:c r="E10" s="238" t="n">
        <x:v>13.86</x:v>
      </x:c>
      <x:c r="F10" s="238" t="n">
        <x:v>5.02</x:v>
      </x:c>
      <x:c r="G10" s="238" t="n">
        <x:v>52.2</x:v>
      </x:c>
      <x:c r="H10" s="187" t="str">
        <x:v>FX opportunity rising</x:v>
      </x:c>
      <x:c r="I10" s="186"/>
      <x:c r="J10" s="186"/>
      <x:c r="K10" s="186"/>
      <x:c r="L10" s="186"/>
      <x:c r="M10" s="186"/>
      <x:c r="N10" s="186"/>
      <x:c r="O10" s="186"/>
      <x:c r="P10" s="186"/>
      <x:c r="Q10" s="186"/>
      <x:c r="R10" s="186"/>
      <x:c r="S10" s="186"/>
      <x:c r="T10" s="186"/>
      <x:c r="U10" s="186"/>
      <x:c r="V10" s="186"/>
      <x:c r="W10" s="186"/>
      <x:c r="X10" s="186"/>
      <x:c r="Y10" s="186"/>
      <x:c r="Z10" s="186"/>
    </x:row>
    <x:row r="11">
      <x:c r="A11" s="187" t="str">
        <x:v>Aug</x:v>
      </x:c>
      <x:c r="B11" s="238" t="n">
        <x:v>24.55</x:v>
      </x:c>
      <x:c r="C11" s="238" t="n">
        <x:v>14.95</x:v>
      </x:c>
      <x:c r="D11" s="238" t="n">
        <x:v>2.36</x:v>
      </x:c>
      <x:c r="E11" s="238" t="n">
        <x:v>14.24</x:v>
      </x:c>
      <x:c r="F11" s="238" t="n">
        <x:v>5.28</x:v>
      </x:c>
      <x:c r="G11" s="238" t="n">
        <x:v>53.4</x:v>
      </x:c>
      <x:c r="H11" s="187" t="str">
        <x:v>FX opportunity rising</x:v>
      </x:c>
      <x:c r="I11" s="186"/>
      <x:c r="J11" s="186"/>
      <x:c r="K11" s="186"/>
      <x:c r="L11" s="186"/>
      <x:c r="M11" s="186"/>
      <x:c r="N11" s="186"/>
      <x:c r="O11" s="186"/>
      <x:c r="P11" s="186"/>
      <x:c r="Q11" s="186"/>
      <x:c r="R11" s="186"/>
      <x:c r="S11" s="186"/>
      <x:c r="T11" s="186"/>
      <x:c r="U11" s="186"/>
      <x:c r="V11" s="186"/>
      <x:c r="W11" s="186"/>
      <x:c r="X11" s="186"/>
      <x:c r="Y11" s="186"/>
      <x:c r="Z11" s="186"/>
    </x:row>
    <x:row r="12">
      <x:c r="A12" s="187" t="str">
        <x:v>Sep</x:v>
      </x:c>
      <x:c r="B12" s="238" t="n">
        <x:v>26.4</x:v>
      </x:c>
      <x:c r="C12" s="238" t="n">
        <x:v>15.3</x:v>
      </x:c>
      <x:c r="D12" s="238" t="n">
        <x:v>2.44</x:v>
      </x:c>
      <x:c r="E12" s="238" t="n">
        <x:v>15.31</x:v>
      </x:c>
      <x:c r="F12" s="238" t="n">
        <x:v>5.81</x:v>
      </x:c>
      <x:c r="G12" s="238" t="n">
        <x:v>54.6</x:v>
      </x:c>
      <x:c r="H12" s="187" t="str">
        <x:v>FX opportunity rising</x:v>
      </x:c>
      <x:c r="I12" s="186"/>
      <x:c r="J12" s="186"/>
      <x:c r="K12" s="186"/>
      <x:c r="L12" s="186"/>
      <x:c r="M12" s="186"/>
      <x:c r="N12" s="186"/>
      <x:c r="O12" s="186"/>
      <x:c r="P12" s="186"/>
      <x:c r="Q12" s="186"/>
      <x:c r="R12" s="186"/>
      <x:c r="S12" s="186"/>
      <x:c r="T12" s="186"/>
      <x:c r="U12" s="186"/>
      <x:c r="V12" s="186"/>
      <x:c r="W12" s="186"/>
      <x:c r="X12" s="186"/>
      <x:c r="Y12" s="186"/>
      <x:c r="Z12" s="186"/>
    </x:row>
    <x:row r="13">
      <x:c r="A13" s="187" t="str">
        <x:v>Oct</x:v>
      </x:c>
      <x:c r="B13" s="238" t="n">
        <x:v>25.85</x:v>
      </x:c>
      <x:c r="C13" s="238" t="n">
        <x:v>15.65</x:v>
      </x:c>
      <x:c r="D13" s="238" t="n">
        <x:v>2.52</x:v>
      </x:c>
      <x:c r="E13" s="238" t="n">
        <x:v>14.99</x:v>
      </x:c>
      <x:c r="F13" s="238" t="n">
        <x:v>5.82</x:v>
      </x:c>
      <x:c r="G13" s="238" t="n">
        <x:v>55.8</x:v>
      </x:c>
      <x:c r="H13" s="187" t="str">
        <x:v>FX opportunity rising</x:v>
      </x:c>
      <x:c r="I13" s="186"/>
      <x:c r="J13" s="186"/>
      <x:c r="K13" s="186"/>
      <x:c r="L13" s="186"/>
      <x:c r="M13" s="186"/>
      <x:c r="N13" s="186"/>
      <x:c r="O13" s="186"/>
      <x:c r="P13" s="186"/>
      <x:c r="Q13" s="186"/>
      <x:c r="R13" s="186"/>
      <x:c r="S13" s="186"/>
      <x:c r="T13" s="186"/>
      <x:c r="U13" s="186"/>
      <x:c r="V13" s="186"/>
      <x:c r="W13" s="186"/>
      <x:c r="X13" s="186"/>
      <x:c r="Y13" s="186"/>
      <x:c r="Z13" s="186"/>
    </x:row>
    <x:row r="14">
      <x:c r="A14" s="187" t="str">
        <x:v>Nov</x:v>
      </x:c>
      <x:c r="B14" s="238" t="n">
        <x:v>26.5</x:v>
      </x:c>
      <x:c r="C14" s="238" t="n">
        <x:v>16</x:v>
      </x:c>
      <x:c r="D14" s="238" t="n">
        <x:v>2.6</x:v>
      </x:c>
      <x:c r="E14" s="238" t="n">
        <x:v>15.37</x:v>
      </x:c>
      <x:c r="F14" s="238" t="n">
        <x:v>6.09</x:v>
      </x:c>
      <x:c r="G14" s="238" t="n">
        <x:v>57</x:v>
      </x:c>
      <x:c r="H14" s="187" t="str">
        <x:v>FX opportunity rising</x:v>
      </x:c>
      <x:c r="I14" s="186"/>
      <x:c r="J14" s="186"/>
      <x:c r="K14" s="186"/>
      <x:c r="L14" s="186"/>
      <x:c r="M14" s="186"/>
      <x:c r="N14" s="186"/>
      <x:c r="O14" s="186"/>
      <x:c r="P14" s="186"/>
      <x:c r="Q14" s="186"/>
      <x:c r="R14" s="186"/>
      <x:c r="S14" s="186"/>
      <x:c r="T14" s="186"/>
      <x:c r="U14" s="186"/>
      <x:c r="V14" s="186"/>
      <x:c r="W14" s="186"/>
      <x:c r="X14" s="186"/>
      <x:c r="Y14" s="186"/>
      <x:c r="Z14" s="186"/>
    </x:row>
    <x:row r="15">
      <x:c r="A15" s="187" t="str">
        <x:v>Dec</x:v>
      </x:c>
      <x:c r="B15" s="238" t="n">
        <x:v>28.35</x:v>
      </x:c>
      <x:c r="C15" s="238" t="n">
        <x:v>16.35</x:v>
      </x:c>
      <x:c r="D15" s="238" t="n">
        <x:v>2.68</x:v>
      </x:c>
      <x:c r="E15" s="238" t="n">
        <x:v>16.44</x:v>
      </x:c>
      <x:c r="F15" s="238" t="n">
        <x:v>6.66</x:v>
      </x:c>
      <x:c r="G15" s="238" t="n">
        <x:v>58.2</x:v>
      </x:c>
      <x:c r="H15" s="187" t="str">
        <x:v>FX opportunity rising</x:v>
      </x:c>
      <x:c r="I15" s="186"/>
      <x:c r="J15" s="186"/>
      <x:c r="K15" s="186"/>
      <x:c r="L15" s="186"/>
      <x:c r="M15" s="186"/>
      <x:c r="N15" s="186"/>
      <x:c r="O15" s="186"/>
      <x:c r="P15" s="186"/>
      <x:c r="Q15" s="186"/>
      <x:c r="R15" s="186"/>
      <x:c r="S15" s="186"/>
      <x:c r="T15" s="186"/>
      <x:c r="U15" s="186"/>
      <x:c r="V15" s="186"/>
      <x:c r="W15" s="186"/>
      <x:c r="X15" s="186"/>
      <x:c r="Y15" s="186"/>
      <x:c r="Z15" s="186"/>
    </x:row>
    <x:row r="16">
      <x:c r="A16" s="187"/>
      <x:c r="B16" s="187"/>
      <x:c r="C16" s="187"/>
      <x:c r="D16" s="187"/>
      <x:c r="E16" s="187"/>
      <x:c r="F16" s="187"/>
      <x:c r="G16" s="187"/>
      <x:c r="H16" s="187"/>
      <x:c r="I16" s="186"/>
      <x:c r="J16" s="186"/>
      <x:c r="K16" s="186"/>
      <x:c r="L16" s="186"/>
      <x:c r="M16" s="186"/>
      <x:c r="N16" s="186"/>
      <x:c r="O16" s="186"/>
      <x:c r="P16" s="186"/>
      <x:c r="Q16" s="186"/>
      <x:c r="R16" s="186"/>
      <x:c r="S16" s="186"/>
      <x:c r="T16" s="186"/>
      <x:c r="U16" s="186"/>
      <x:c r="V16" s="186"/>
      <x:c r="W16" s="186"/>
      <x:c r="X16" s="186"/>
      <x:c r="Y16" s="186"/>
      <x:c r="Z16" s="186"/>
    </x:row>
    <x:row r="17">
      <x:c r="A17" s="187"/>
      <x:c r="B17" s="187"/>
      <x:c r="C17" s="187"/>
      <x:c r="D17" s="187"/>
      <x:c r="E17" s="187"/>
      <x:c r="F17" s="187"/>
      <x:c r="G17" s="187"/>
      <x:c r="H17" s="187"/>
      <x:c r="I17" s="186"/>
      <x:c r="J17" s="186"/>
      <x:c r="K17" s="186"/>
      <x:c r="L17" s="186"/>
      <x:c r="M17" s="186"/>
      <x:c r="N17" s="186"/>
      <x:c r="O17" s="186"/>
      <x:c r="P17" s="186"/>
      <x:c r="Q17" s="186"/>
      <x:c r="R17" s="186"/>
      <x:c r="S17" s="186"/>
      <x:c r="T17" s="186"/>
      <x:c r="U17" s="186"/>
      <x:c r="V17" s="186"/>
      <x:c r="W17" s="186"/>
      <x:c r="X17" s="186"/>
      <x:c r="Y17" s="186"/>
      <x:c r="Z17" s="186"/>
    </x:row>
    <x:row r="18">
      <x:c r="A18" s="26" t="str">
        <x:v>Relationship Opportunity</x:v>
      </x:c>
      <x:c r="B18" s="26" t="str">
        <x:v>Observed Driver</x:v>
      </x:c>
      <x:c r="C18" s="26" t="str">
        <x:v>Recommended Product Area</x:v>
      </x:c>
      <x:c r="D18" s="26" t="str">
        <x:v>Priority</x:v>
      </x:c>
      <x:c r="E18" s="187"/>
      <x:c r="F18" s="187"/>
      <x:c r="G18" s="187"/>
      <x:c r="H18" s="187"/>
      <x:c r="I18" s="186"/>
      <x:c r="J18" s="186"/>
      <x:c r="K18" s="186"/>
      <x:c r="L18" s="186"/>
      <x:c r="M18" s="186"/>
      <x:c r="N18" s="186"/>
      <x:c r="O18" s="186"/>
      <x:c r="P18" s="186"/>
      <x:c r="Q18" s="186"/>
      <x:c r="R18" s="186"/>
      <x:c r="S18" s="186"/>
      <x:c r="T18" s="186"/>
      <x:c r="U18" s="186"/>
      <x:c r="V18" s="186"/>
      <x:c r="W18" s="186"/>
      <x:c r="X18" s="186"/>
      <x:c r="Y18" s="186"/>
      <x:c r="Z18" s="186"/>
    </x:row>
    <x:row r="19">
      <x:c r="A19" s="187" t="str">
        <x:v>Receivables automation</x:v>
      </x:c>
      <x:c r="B19" s="187" t="str">
        <x:v>Growing customer collections / ACH volume</x:v>
      </x:c>
      <x:c r="C19" s="187" t="str">
        <x:v>Receivables / ACH / intelligent matching</x:v>
      </x:c>
      <x:c r="D19" s="187" t="str">
        <x:v>High</x:v>
      </x:c>
      <x:c r="E19" s="187"/>
      <x:c r="F19" s="187"/>
      <x:c r="G19" s="187"/>
      <x:c r="H19" s="187"/>
      <x:c r="I19" s="186"/>
      <x:c r="J19" s="186"/>
      <x:c r="K19" s="186"/>
      <x:c r="L19" s="186"/>
      <x:c r="M19" s="186"/>
      <x:c r="N19" s="186"/>
      <x:c r="O19" s="186"/>
      <x:c r="P19" s="186"/>
      <x:c r="Q19" s="186"/>
      <x:c r="R19" s="186"/>
      <x:c r="S19" s="186"/>
      <x:c r="T19" s="186"/>
      <x:c r="U19" s="186"/>
      <x:c r="V19" s="186"/>
      <x:c r="W19" s="186"/>
      <x:c r="X19" s="186"/>
      <x:c r="Y19" s="186"/>
      <x:c r="Z19" s="186"/>
    </x:row>
    <x:row r="20">
      <x:c r="A20" s="187" t="str">
        <x:v>Operating liquidity</x:v>
      </x:c>
      <x:c r="B20" s="187" t="str">
        <x:v>Average operating cash rising</x:v>
      </x:c>
      <x:c r="C20" s="187" t="str">
        <x:v>Deposit and liquidity structure</x:v>
      </x:c>
      <x:c r="D20" s="187" t="str">
        <x:v>High</x:v>
      </x:c>
      <x:c r="E20" s="187"/>
      <x:c r="F20" s="187"/>
      <x:c r="G20" s="187"/>
      <x:c r="H20" s="187"/>
      <x:c r="I20" s="186"/>
      <x:c r="J20" s="186"/>
      <x:c r="K20" s="186"/>
      <x:c r="L20" s="186"/>
      <x:c r="M20" s="186"/>
      <x:c r="N20" s="186"/>
      <x:c r="O20" s="186"/>
      <x:c r="P20" s="186"/>
      <x:c r="Q20" s="186"/>
      <x:c r="R20" s="186"/>
      <x:c r="S20" s="186"/>
      <x:c r="T20" s="186"/>
      <x:c r="U20" s="186"/>
      <x:c r="V20" s="186"/>
      <x:c r="W20" s="186"/>
      <x:c r="X20" s="186"/>
      <x:c r="Y20" s="186"/>
      <x:c r="Z20" s="186"/>
    </x:row>
    <x:row r="21">
      <x:c r="A21" s="187" t="str">
        <x:v>Global payments</x:v>
      </x:c>
      <x:c r="B21" s="187" t="str">
        <x:v>International revenue expanding</x:v>
      </x:c>
      <x:c r="C21" s="187" t="str">
        <x:v>Global payments / cross-border cash visibility</x:v>
      </x:c>
      <x:c r="D21" s="187" t="str">
        <x:v>High</x:v>
      </x:c>
      <x:c r="E21" s="187"/>
      <x:c r="F21" s="187"/>
      <x:c r="G21" s="187"/>
      <x:c r="H21" s="187"/>
      <x:c r="I21" s="186"/>
      <x:c r="J21" s="186"/>
      <x:c r="K21" s="186"/>
      <x:c r="L21" s="186"/>
      <x:c r="M21" s="186"/>
      <x:c r="N21" s="186"/>
      <x:c r="O21" s="186"/>
      <x:c r="P21" s="186"/>
      <x:c r="Q21" s="186"/>
      <x:c r="R21" s="186"/>
      <x:c r="S21" s="186"/>
      <x:c r="T21" s="186"/>
      <x:c r="U21" s="186"/>
      <x:c r="V21" s="186"/>
      <x:c r="W21" s="186"/>
      <x:c r="X21" s="186"/>
      <x:c r="Y21" s="186"/>
      <x:c r="Z21" s="186"/>
    </x:row>
    <x:row r="22">
      <x:c r="A22" s="187" t="str">
        <x:v>FX risk</x:v>
      </x:c>
      <x:c r="B22" s="187" t="str">
        <x:v>FX notional and international revenue rising</x:v>
      </x:c>
      <x:c r="C22" s="187" t="str">
        <x:v>FX exposure review / hedging discussion</x:v>
      </x:c>
      <x:c r="D22" s="187" t="str">
        <x:v>High</x:v>
      </x:c>
      <x:c r="E22" s="187"/>
      <x:c r="F22" s="187"/>
      <x:c r="G22" s="187"/>
      <x:c r="H22" s="187"/>
      <x:c r="I22" s="186"/>
      <x:c r="J22" s="186"/>
      <x:c r="K22" s="186"/>
      <x:c r="L22" s="186"/>
      <x:c r="M22" s="186"/>
      <x:c r="N22" s="186"/>
      <x:c r="O22" s="186"/>
      <x:c r="P22" s="186"/>
      <x:c r="Q22" s="186"/>
      <x:c r="R22" s="186"/>
      <x:c r="S22" s="186"/>
      <x:c r="T22" s="186"/>
      <x:c r="U22" s="186"/>
      <x:c r="V22" s="186"/>
      <x:c r="W22" s="186"/>
      <x:c r="X22" s="186"/>
      <x:c r="Y22" s="186"/>
      <x:c r="Z22" s="186"/>
    </x:row>
    <x:row r="23">
      <x:c r="A23" s="187" t="str">
        <x:v>Payment controls</x:v>
      </x:c>
      <x:c r="B23" s="187" t="str">
        <x:v>Vendor payments and wires scaling</x:v>
      </x:c>
      <x:c r="C23" s="187" t="str">
        <x:v>Wire controls / payment workflows</x:v>
      </x:c>
      <x:c r="D23" s="187" t="str">
        <x:v>Medium</x:v>
      </x:c>
      <x:c r="E23" s="187"/>
      <x:c r="F23" s="187"/>
      <x:c r="G23" s="187"/>
      <x:c r="H23" s="187"/>
      <x:c r="I23" s="186"/>
      <x:c r="J23" s="186"/>
      <x:c r="K23" s="186"/>
      <x:c r="L23" s="186"/>
      <x:c r="M23" s="186"/>
      <x:c r="N23" s="186"/>
      <x:c r="O23" s="186"/>
      <x:c r="P23" s="186"/>
      <x:c r="Q23" s="186"/>
      <x:c r="R23" s="186"/>
      <x:c r="S23" s="186"/>
      <x:c r="T23" s="186"/>
      <x:c r="U23" s="186"/>
      <x:c r="V23" s="186"/>
      <x:c r="W23" s="186"/>
      <x:c r="X23" s="186"/>
      <x:c r="Y23" s="186"/>
      <x:c r="Z23" s="186"/>
    </x:row>
    <x:row r="24">
      <x:c r="A24" s="187" t="str">
        <x:v>Expense management</x:v>
      </x:c>
      <x:c r="B24" s="187" t="str">
        <x:v>Scaling workforce</x:v>
      </x:c>
      <x:c r="C24" s="187" t="str">
        <x:v>Commercial card / expense controls</x:v>
      </x:c>
      <x:c r="D24" s="187" t="str">
        <x:v>Medium</x:v>
      </x:c>
      <x:c r="E24" s="187"/>
      <x:c r="F24" s="187"/>
      <x:c r="G24" s="187"/>
      <x:c r="H24" s="187"/>
      <x:c r="I24" s="186"/>
      <x:c r="J24" s="186"/>
      <x:c r="K24" s="186"/>
      <x:c r="L24" s="186"/>
      <x:c r="M24" s="186"/>
      <x:c r="N24" s="186"/>
      <x:c r="O24" s="186"/>
      <x:c r="P24" s="186"/>
      <x:c r="Q24" s="186"/>
      <x:c r="R24" s="186"/>
      <x:c r="S24" s="186"/>
      <x:c r="T24" s="186"/>
      <x:c r="U24" s="186"/>
      <x:c r="V24" s="186"/>
      <x:c r="W24" s="186"/>
      <x:c r="X24" s="186"/>
      <x:c r="Y24" s="186"/>
      <x:c r="Z24" s="186"/>
    </x:row>
    <x:row r="25">
      <x:c r="A25" s="186"/>
      <x:c r="B25" s="186"/>
      <x:c r="C25" s="186"/>
      <x:c r="D25" s="186"/>
      <x:c r="E25" s="186"/>
      <x:c r="F25" s="186"/>
      <x:c r="G25" s="186"/>
      <x:c r="H25" s="186"/>
      <x:c r="I25" s="186"/>
      <x:c r="J25" s="186"/>
      <x:c r="K25" s="186"/>
      <x:c r="L25" s="186"/>
      <x:c r="M25" s="186"/>
      <x:c r="N25" s="186"/>
      <x:c r="O25" s="186"/>
      <x:c r="P25" s="186"/>
      <x:c r="Q25" s="186"/>
      <x:c r="R25" s="186"/>
      <x:c r="S25" s="186"/>
      <x:c r="T25" s="186"/>
      <x:c r="U25" s="186"/>
      <x:c r="V25" s="186"/>
      <x:c r="W25" s="186"/>
      <x:c r="X25" s="186"/>
      <x:c r="Y25" s="186"/>
      <x:c r="Z25" s="186"/>
    </x:row>
    <x:row r="26">
      <x:c r="A26" s="186"/>
      <x:c r="B26" s="186"/>
      <x:c r="C26" s="186"/>
      <x:c r="D26" s="186"/>
      <x:c r="E26" s="186"/>
      <x:c r="F26" s="186"/>
      <x:c r="G26" s="186"/>
      <x:c r="H26" s="186"/>
      <x:c r="I26" s="186"/>
      <x:c r="J26" s="186"/>
      <x:c r="K26" s="186"/>
      <x:c r="L26" s="186"/>
      <x:c r="M26" s="186"/>
      <x:c r="N26" s="186"/>
      <x:c r="O26" s="186"/>
      <x:c r="P26" s="186"/>
      <x:c r="Q26" s="186"/>
      <x:c r="R26" s="186"/>
      <x:c r="S26" s="186"/>
      <x:c r="T26" s="186"/>
      <x:c r="U26" s="186"/>
      <x:c r="V26" s="186"/>
      <x:c r="W26" s="186"/>
      <x:c r="X26" s="186"/>
      <x:c r="Y26" s="186"/>
      <x:c r="Z26" s="186"/>
    </x:row>
    <x:row r="27">
      <x:c r="A27" s="186"/>
      <x:c r="B27" s="186"/>
      <x:c r="C27" s="186"/>
      <x:c r="D27" s="186"/>
      <x:c r="E27" s="186"/>
      <x:c r="F27" s="186"/>
      <x:c r="G27" s="186"/>
      <x:c r="H27" s="186"/>
      <x:c r="I27" s="186"/>
      <x:c r="J27" s="186"/>
      <x:c r="K27" s="186"/>
      <x:c r="L27" s="186"/>
      <x:c r="M27" s="186"/>
      <x:c r="N27" s="186"/>
      <x:c r="O27" s="186"/>
      <x:c r="P27" s="186"/>
      <x:c r="Q27" s="186"/>
      <x:c r="R27" s="186"/>
      <x:c r="S27" s="186"/>
      <x:c r="T27" s="186"/>
      <x:c r="U27" s="186"/>
      <x:c r="V27" s="186"/>
      <x:c r="W27" s="186"/>
      <x:c r="X27" s="186"/>
      <x:c r="Y27" s="186"/>
      <x:c r="Z27" s="186"/>
    </x:row>
    <x:row r="28">
      <x:c r="A28" s="186"/>
      <x:c r="B28" s="186"/>
      <x:c r="C28" s="186"/>
      <x:c r="D28" s="186"/>
      <x:c r="E28" s="186"/>
      <x:c r="F28" s="186"/>
      <x:c r="G28" s="186"/>
      <x:c r="H28" s="186"/>
      <x:c r="I28" s="186"/>
      <x:c r="J28" s="186"/>
      <x:c r="K28" s="186"/>
      <x:c r="L28" s="186"/>
      <x:c r="M28" s="186"/>
      <x:c r="N28" s="186"/>
      <x:c r="O28" s="186"/>
      <x:c r="P28" s="186"/>
      <x:c r="Q28" s="186"/>
      <x:c r="R28" s="186"/>
      <x:c r="S28" s="186"/>
      <x:c r="T28" s="186"/>
      <x:c r="U28" s="186"/>
      <x:c r="V28" s="186"/>
      <x:c r="W28" s="186"/>
      <x:c r="X28" s="186"/>
      <x:c r="Y28" s="186"/>
      <x:c r="Z28" s="186"/>
    </x:row>
    <x:row r="29">
      <x:c r="A29" s="186"/>
      <x:c r="B29" s="186"/>
      <x:c r="C29" s="186"/>
      <x:c r="D29" s="186"/>
      <x:c r="E29" s="186"/>
      <x:c r="F29" s="186"/>
      <x:c r="G29" s="186"/>
      <x:c r="H29" s="186"/>
      <x:c r="I29" s="186"/>
      <x:c r="J29" s="186"/>
      <x:c r="K29" s="186"/>
      <x:c r="L29" s="186"/>
      <x:c r="M29" s="186"/>
      <x:c r="N29" s="186"/>
      <x:c r="O29" s="186"/>
      <x:c r="P29" s="186"/>
      <x:c r="Q29" s="186"/>
      <x:c r="R29" s="186"/>
      <x:c r="S29" s="186"/>
      <x:c r="T29" s="186"/>
      <x:c r="U29" s="186"/>
      <x:c r="V29" s="186"/>
      <x:c r="W29" s="186"/>
      <x:c r="X29" s="186"/>
      <x:c r="Y29" s="186"/>
      <x:c r="Z29" s="186"/>
    </x:row>
    <x:row r="30">
      <x:c r="A30" s="186"/>
      <x:c r="B30" s="186"/>
      <x:c r="C30" s="186"/>
      <x:c r="D30" s="186"/>
      <x:c r="E30" s="186"/>
      <x:c r="F30" s="186"/>
      <x:c r="G30" s="186"/>
      <x:c r="H30" s="186"/>
      <x:c r="I30" s="186"/>
      <x:c r="J30" s="186"/>
      <x:c r="K30" s="186"/>
      <x:c r="L30" s="186"/>
      <x:c r="M30" s="186"/>
      <x:c r="N30" s="186"/>
      <x:c r="O30" s="186"/>
      <x:c r="P30" s="186"/>
      <x:c r="Q30" s="186"/>
      <x:c r="R30" s="186"/>
      <x:c r="S30" s="186"/>
      <x:c r="T30" s="186"/>
      <x:c r="U30" s="186"/>
      <x:c r="V30" s="186"/>
      <x:c r="W30" s="186"/>
      <x:c r="X30" s="186"/>
      <x:c r="Y30" s="186"/>
      <x:c r="Z30" s="186"/>
    </x:row>
    <x:row r="31">
      <x:c r="A31" s="186"/>
      <x:c r="B31" s="186"/>
      <x:c r="C31" s="186"/>
      <x:c r="D31" s="186"/>
      <x:c r="E31" s="186"/>
      <x:c r="F31" s="186"/>
      <x:c r="G31" s="186"/>
      <x:c r="H31" s="186"/>
      <x:c r="I31" s="186"/>
      <x:c r="J31" s="186"/>
      <x:c r="K31" s="186"/>
      <x:c r="L31" s="186"/>
      <x:c r="M31" s="186"/>
      <x:c r="N31" s="186"/>
      <x:c r="O31" s="186"/>
      <x:c r="P31" s="186"/>
      <x:c r="Q31" s="186"/>
      <x:c r="R31" s="186"/>
      <x:c r="S31" s="186"/>
      <x:c r="T31" s="186"/>
      <x:c r="U31" s="186"/>
      <x:c r="V31" s="186"/>
      <x:c r="W31" s="186"/>
      <x:c r="X31" s="186"/>
      <x:c r="Y31" s="186"/>
      <x:c r="Z31" s="186"/>
    </x:row>
    <x:row r="32">
      <x:c r="A32" s="186"/>
      <x:c r="B32" s="186"/>
      <x:c r="C32" s="186"/>
      <x:c r="D32" s="186"/>
      <x:c r="E32" s="186"/>
      <x:c r="F32" s="186"/>
      <x:c r="G32" s="186"/>
      <x:c r="H32" s="186"/>
      <x:c r="I32" s="186"/>
      <x:c r="J32" s="186"/>
      <x:c r="K32" s="186"/>
      <x:c r="L32" s="186"/>
      <x:c r="M32" s="186"/>
      <x:c r="N32" s="186"/>
      <x:c r="O32" s="186"/>
      <x:c r="P32" s="186"/>
      <x:c r="Q32" s="186"/>
      <x:c r="R32" s="186"/>
      <x:c r="S32" s="186"/>
      <x:c r="T32" s="186"/>
      <x:c r="U32" s="186"/>
      <x:c r="V32" s="186"/>
      <x:c r="W32" s="186"/>
      <x:c r="X32" s="186"/>
      <x:c r="Y32" s="186"/>
      <x:c r="Z32" s="186"/>
    </x:row>
    <x:row r="33">
      <x:c r="A33" s="186"/>
      <x:c r="B33" s="186"/>
      <x:c r="C33" s="186"/>
      <x:c r="D33" s="186"/>
      <x:c r="E33" s="186"/>
      <x:c r="F33" s="186"/>
      <x:c r="G33" s="186"/>
      <x:c r="H33" s="186"/>
      <x:c r="I33" s="186"/>
      <x:c r="J33" s="186"/>
      <x:c r="K33" s="186"/>
      <x:c r="L33" s="186"/>
      <x:c r="M33" s="186"/>
      <x:c r="N33" s="186"/>
      <x:c r="O33" s="186"/>
      <x:c r="P33" s="186"/>
      <x:c r="Q33" s="186"/>
      <x:c r="R33" s="186"/>
      <x:c r="S33" s="186"/>
      <x:c r="T33" s="186"/>
      <x:c r="U33" s="186"/>
      <x:c r="V33" s="186"/>
      <x:c r="W33" s="186"/>
      <x:c r="X33" s="186"/>
      <x:c r="Y33" s="186"/>
      <x:c r="Z33" s="186"/>
    </x:row>
    <x:row r="34">
      <x:c r="A34" s="186"/>
      <x:c r="B34" s="186"/>
      <x:c r="C34" s="186"/>
      <x:c r="D34" s="186"/>
      <x:c r="E34" s="186"/>
      <x:c r="F34" s="186"/>
      <x:c r="G34" s="186"/>
      <x:c r="H34" s="186"/>
      <x:c r="I34" s="186"/>
      <x:c r="J34" s="186"/>
      <x:c r="K34" s="186"/>
      <x:c r="L34" s="186"/>
      <x:c r="M34" s="186"/>
      <x:c r="N34" s="186"/>
      <x:c r="O34" s="186"/>
      <x:c r="P34" s="186"/>
      <x:c r="Q34" s="186"/>
      <x:c r="R34" s="186"/>
      <x:c r="S34" s="186"/>
      <x:c r="T34" s="186"/>
      <x:c r="U34" s="186"/>
      <x:c r="V34" s="186"/>
      <x:c r="W34" s="186"/>
      <x:c r="X34" s="186"/>
      <x:c r="Y34" s="186"/>
      <x:c r="Z34" s="186"/>
    </x:row>
    <x:row r="35">
      <x:c r="A35" s="186"/>
      <x:c r="B35" s="186"/>
      <x:c r="C35" s="186"/>
      <x:c r="D35" s="186"/>
      <x:c r="E35" s="186"/>
      <x:c r="F35" s="186"/>
      <x:c r="G35" s="186"/>
      <x:c r="H35" s="186"/>
      <x:c r="I35" s="186"/>
      <x:c r="J35" s="186"/>
      <x:c r="K35" s="186"/>
      <x:c r="L35" s="186"/>
      <x:c r="M35" s="186"/>
      <x:c r="N35" s="186"/>
      <x:c r="O35" s="186"/>
      <x:c r="P35" s="186"/>
      <x:c r="Q35" s="186"/>
      <x:c r="R35" s="186"/>
      <x:c r="S35" s="186"/>
      <x:c r="T35" s="186"/>
      <x:c r="U35" s="186"/>
      <x:c r="V35" s="186"/>
      <x:c r="W35" s="186"/>
      <x:c r="X35" s="186"/>
      <x:c r="Y35" s="186"/>
      <x:c r="Z35" s="186"/>
    </x:row>
    <x:row r="36">
      <x:c r="A36" s="186"/>
      <x:c r="B36" s="186"/>
      <x:c r="C36" s="186"/>
      <x:c r="D36" s="186"/>
      <x:c r="E36" s="186"/>
      <x:c r="F36" s="186"/>
      <x:c r="G36" s="186"/>
      <x:c r="H36" s="186"/>
      <x:c r="I36" s="186"/>
      <x:c r="J36" s="186"/>
      <x:c r="K36" s="186"/>
      <x:c r="L36" s="186"/>
      <x:c r="M36" s="186"/>
      <x:c r="N36" s="186"/>
      <x:c r="O36" s="186"/>
      <x:c r="P36" s="186"/>
      <x:c r="Q36" s="186"/>
      <x:c r="R36" s="186"/>
      <x:c r="S36" s="186"/>
      <x:c r="T36" s="186"/>
      <x:c r="U36" s="186"/>
      <x:c r="V36" s="186"/>
      <x:c r="W36" s="186"/>
      <x:c r="X36" s="186"/>
      <x:c r="Y36" s="186"/>
      <x:c r="Z36" s="186"/>
    </x:row>
    <x:row r="37">
      <x:c r="A37" s="186"/>
      <x:c r="B37" s="186"/>
      <x:c r="C37" s="186"/>
      <x:c r="D37" s="186"/>
      <x:c r="E37" s="186"/>
      <x:c r="F37" s="186"/>
      <x:c r="G37" s="186"/>
      <x:c r="H37" s="186"/>
      <x:c r="I37" s="186"/>
      <x:c r="J37" s="186"/>
      <x:c r="K37" s="186"/>
      <x:c r="L37" s="186"/>
      <x:c r="M37" s="186"/>
      <x:c r="N37" s="186"/>
      <x:c r="O37" s="186"/>
      <x:c r="P37" s="186"/>
      <x:c r="Q37" s="186"/>
      <x:c r="R37" s="186"/>
      <x:c r="S37" s="186"/>
      <x:c r="T37" s="186"/>
      <x:c r="U37" s="186"/>
      <x:c r="V37" s="186"/>
      <x:c r="W37" s="186"/>
      <x:c r="X37" s="186"/>
      <x:c r="Y37" s="186"/>
      <x:c r="Z37" s="186"/>
    </x:row>
    <x:row r="38">
      <x:c r="A38" s="186"/>
      <x:c r="B38" s="186"/>
      <x:c r="C38" s="186"/>
      <x:c r="D38" s="186"/>
      <x:c r="E38" s="186"/>
      <x:c r="F38" s="186"/>
      <x:c r="G38" s="186"/>
      <x:c r="H38" s="186"/>
      <x:c r="I38" s="186"/>
      <x:c r="J38" s="186"/>
      <x:c r="K38" s="186"/>
      <x:c r="L38" s="186"/>
      <x:c r="M38" s="186"/>
      <x:c r="N38" s="186"/>
      <x:c r="O38" s="186"/>
      <x:c r="P38" s="186"/>
      <x:c r="Q38" s="186"/>
      <x:c r="R38" s="186"/>
      <x:c r="S38" s="186"/>
      <x:c r="T38" s="186"/>
      <x:c r="U38" s="186"/>
      <x:c r="V38" s="186"/>
      <x:c r="W38" s="186"/>
      <x:c r="X38" s="186"/>
      <x:c r="Y38" s="186"/>
      <x:c r="Z38" s="186"/>
    </x:row>
    <x:row r="39">
      <x:c r="A39" s="186"/>
      <x:c r="B39" s="186"/>
      <x:c r="C39" s="186"/>
      <x:c r="D39" s="186"/>
      <x:c r="E39" s="186"/>
      <x:c r="F39" s="186"/>
      <x:c r="G39" s="186"/>
      <x:c r="H39" s="186"/>
      <x:c r="I39" s="186"/>
      <x:c r="J39" s="186"/>
      <x:c r="K39" s="186"/>
      <x:c r="L39" s="186"/>
      <x:c r="M39" s="186"/>
      <x:c r="N39" s="186"/>
      <x:c r="O39" s="186"/>
      <x:c r="P39" s="186"/>
      <x:c r="Q39" s="186"/>
      <x:c r="R39" s="186"/>
      <x:c r="S39" s="186"/>
      <x:c r="T39" s="186"/>
      <x:c r="U39" s="186"/>
      <x:c r="V39" s="186"/>
      <x:c r="W39" s="186"/>
      <x:c r="X39" s="186"/>
      <x:c r="Y39" s="186"/>
      <x:c r="Z39" s="186"/>
    </x:row>
    <x:row r="40">
      <x:c r="A40" s="186"/>
      <x:c r="B40" s="186"/>
      <x:c r="C40" s="186"/>
      <x:c r="D40" s="186"/>
      <x:c r="E40" s="186"/>
      <x:c r="F40" s="186"/>
      <x:c r="G40" s="186"/>
      <x:c r="H40" s="186"/>
      <x:c r="I40" s="186"/>
      <x:c r="J40" s="186"/>
      <x:c r="K40" s="186"/>
      <x:c r="L40" s="186"/>
      <x:c r="M40" s="186"/>
      <x:c r="N40" s="186"/>
      <x:c r="O40" s="186"/>
      <x:c r="P40" s="186"/>
      <x:c r="Q40" s="186"/>
      <x:c r="R40" s="186"/>
      <x:c r="S40" s="186"/>
      <x:c r="T40" s="186"/>
      <x:c r="U40" s="186"/>
      <x:c r="V40" s="186"/>
      <x:c r="W40" s="186"/>
      <x:c r="X40" s="186"/>
      <x:c r="Y40" s="186"/>
      <x:c r="Z40" s="186"/>
    </x:row>
    <x:row r="41">
      <x:c r="A41" s="186"/>
      <x:c r="B41" s="186"/>
      <x:c r="C41" s="186"/>
      <x:c r="D41" s="186"/>
      <x:c r="E41" s="186"/>
      <x:c r="F41" s="186"/>
      <x:c r="G41" s="186"/>
      <x:c r="H41" s="186"/>
      <x:c r="I41" s="186"/>
      <x:c r="J41" s="186"/>
      <x:c r="K41" s="186"/>
      <x:c r="L41" s="186"/>
      <x:c r="M41" s="186"/>
      <x:c r="N41" s="186"/>
      <x:c r="O41" s="186"/>
      <x:c r="P41" s="186"/>
      <x:c r="Q41" s="186"/>
      <x:c r="R41" s="186"/>
      <x:c r="S41" s="186"/>
      <x:c r="T41" s="186"/>
      <x:c r="U41" s="186"/>
      <x:c r="V41" s="186"/>
      <x:c r="W41" s="186"/>
      <x:c r="X41" s="186"/>
      <x:c r="Y41" s="186"/>
      <x:c r="Z41" s="186"/>
    </x:row>
    <x:row r="42">
      <x:c r="A42" s="186"/>
      <x:c r="B42" s="186"/>
      <x:c r="C42" s="186"/>
      <x:c r="D42" s="186"/>
      <x:c r="E42" s="186"/>
      <x:c r="F42" s="186"/>
      <x:c r="G42" s="186"/>
      <x:c r="H42" s="186"/>
      <x:c r="I42" s="186"/>
      <x:c r="J42" s="186"/>
      <x:c r="K42" s="186"/>
      <x:c r="L42" s="186"/>
      <x:c r="M42" s="186"/>
      <x:c r="N42" s="186"/>
      <x:c r="O42" s="186"/>
      <x:c r="P42" s="186"/>
      <x:c r="Q42" s="186"/>
      <x:c r="R42" s="186"/>
      <x:c r="S42" s="186"/>
      <x:c r="T42" s="186"/>
      <x:c r="U42" s="186"/>
      <x:c r="V42" s="186"/>
      <x:c r="W42" s="186"/>
      <x:c r="X42" s="186"/>
      <x:c r="Y42" s="186"/>
      <x:c r="Z42" s="186"/>
    </x:row>
    <x:row r="43">
      <x:c r="A43" s="186"/>
      <x:c r="B43" s="186"/>
      <x:c r="C43" s="186"/>
      <x:c r="D43" s="186"/>
      <x:c r="E43" s="186"/>
      <x:c r="F43" s="186"/>
      <x:c r="G43" s="186"/>
      <x:c r="H43" s="186"/>
      <x:c r="I43" s="186"/>
      <x:c r="J43" s="186"/>
      <x:c r="K43" s="186"/>
      <x:c r="L43" s="186"/>
      <x:c r="M43" s="186"/>
      <x:c r="N43" s="186"/>
      <x:c r="O43" s="186"/>
      <x:c r="P43" s="186"/>
      <x:c r="Q43" s="186"/>
      <x:c r="R43" s="186"/>
      <x:c r="S43" s="186"/>
      <x:c r="T43" s="186"/>
      <x:c r="U43" s="186"/>
      <x:c r="V43" s="186"/>
      <x:c r="W43" s="186"/>
      <x:c r="X43" s="186"/>
      <x:c r="Y43" s="186"/>
      <x:c r="Z43" s="186"/>
    </x:row>
    <x:row r="44">
      <x:c r="A44" s="186"/>
      <x:c r="B44" s="186"/>
      <x:c r="C44" s="186"/>
      <x:c r="D44" s="186"/>
      <x:c r="E44" s="186"/>
      <x:c r="F44" s="186"/>
      <x:c r="G44" s="186"/>
      <x:c r="H44" s="186"/>
      <x:c r="I44" s="186"/>
      <x:c r="J44" s="186"/>
      <x:c r="K44" s="186"/>
      <x:c r="L44" s="186"/>
      <x:c r="M44" s="186"/>
      <x:c r="N44" s="186"/>
      <x:c r="O44" s="186"/>
      <x:c r="P44" s="186"/>
      <x:c r="Q44" s="186"/>
      <x:c r="R44" s="186"/>
      <x:c r="S44" s="186"/>
      <x:c r="T44" s="186"/>
      <x:c r="U44" s="186"/>
      <x:c r="V44" s="186"/>
      <x:c r="W44" s="186"/>
      <x:c r="X44" s="186"/>
      <x:c r="Y44" s="186"/>
      <x:c r="Z44" s="186"/>
    </x:row>
    <x:row r="45">
      <x:c r="A45" s="186"/>
      <x:c r="B45" s="186"/>
      <x:c r="C45" s="186"/>
      <x:c r="D45" s="186"/>
      <x:c r="E45" s="186"/>
      <x:c r="F45" s="186"/>
      <x:c r="G45" s="186"/>
      <x:c r="H45" s="186"/>
      <x:c r="I45" s="186"/>
      <x:c r="J45" s="186"/>
      <x:c r="K45" s="186"/>
      <x:c r="L45" s="186"/>
      <x:c r="M45" s="186"/>
      <x:c r="N45" s="186"/>
      <x:c r="O45" s="186"/>
      <x:c r="P45" s="186"/>
      <x:c r="Q45" s="186"/>
      <x:c r="R45" s="186"/>
      <x:c r="S45" s="186"/>
      <x:c r="T45" s="186"/>
      <x:c r="U45" s="186"/>
      <x:c r="V45" s="186"/>
      <x:c r="W45" s="186"/>
      <x:c r="X45" s="186"/>
      <x:c r="Y45" s="186"/>
      <x:c r="Z45" s="186"/>
    </x:row>
    <x:row r="46">
      <x:c r="A46" s="186"/>
      <x:c r="B46" s="186"/>
      <x:c r="C46" s="186"/>
      <x:c r="D46" s="186"/>
      <x:c r="E46" s="186"/>
      <x:c r="F46" s="186"/>
      <x:c r="G46" s="186"/>
      <x:c r="H46" s="186"/>
      <x:c r="I46" s="186"/>
      <x:c r="J46" s="186"/>
      <x:c r="K46" s="186"/>
      <x:c r="L46" s="186"/>
      <x:c r="M46" s="186"/>
      <x:c r="N46" s="186"/>
      <x:c r="O46" s="186"/>
      <x:c r="P46" s="186"/>
      <x:c r="Q46" s="186"/>
      <x:c r="R46" s="186"/>
      <x:c r="S46" s="186"/>
      <x:c r="T46" s="186"/>
      <x:c r="U46" s="186"/>
      <x:c r="V46" s="186"/>
      <x:c r="W46" s="186"/>
      <x:c r="X46" s="186"/>
      <x:c r="Y46" s="186"/>
      <x:c r="Z46" s="186"/>
    </x:row>
    <x:row r="47">
      <x:c r="A47" s="186"/>
      <x:c r="B47" s="186"/>
      <x:c r="C47" s="186"/>
      <x:c r="D47" s="186"/>
      <x:c r="E47" s="186"/>
      <x:c r="F47" s="186"/>
      <x:c r="G47" s="186"/>
      <x:c r="H47" s="186"/>
      <x:c r="I47" s="186"/>
      <x:c r="J47" s="186"/>
      <x:c r="K47" s="186"/>
      <x:c r="L47" s="186"/>
      <x:c r="M47" s="186"/>
      <x:c r="N47" s="186"/>
      <x:c r="O47" s="186"/>
      <x:c r="P47" s="186"/>
      <x:c r="Q47" s="186"/>
      <x:c r="R47" s="186"/>
      <x:c r="S47" s="186"/>
      <x:c r="T47" s="186"/>
      <x:c r="U47" s="186"/>
      <x:c r="V47" s="186"/>
      <x:c r="W47" s="186"/>
      <x:c r="X47" s="186"/>
      <x:c r="Y47" s="186"/>
      <x:c r="Z47" s="186"/>
    </x:row>
    <x:row r="48">
      <x:c r="A48" s="186"/>
      <x:c r="B48" s="186"/>
      <x:c r="C48" s="186"/>
      <x:c r="D48" s="186"/>
      <x:c r="E48" s="186"/>
      <x:c r="F48" s="186"/>
      <x:c r="G48" s="186"/>
      <x:c r="H48" s="186"/>
      <x:c r="I48" s="186"/>
      <x:c r="J48" s="186"/>
      <x:c r="K48" s="186"/>
      <x:c r="L48" s="186"/>
      <x:c r="M48" s="186"/>
      <x:c r="N48" s="186"/>
      <x:c r="O48" s="186"/>
      <x:c r="P48" s="186"/>
      <x:c r="Q48" s="186"/>
      <x:c r="R48" s="186"/>
      <x:c r="S48" s="186"/>
      <x:c r="T48" s="186"/>
      <x:c r="U48" s="186"/>
      <x:c r="V48" s="186"/>
      <x:c r="W48" s="186"/>
      <x:c r="X48" s="186"/>
      <x:c r="Y48" s="186"/>
      <x:c r="Z48" s="186"/>
    </x:row>
    <x:row r="49">
      <x:c r="A49" s="186"/>
      <x:c r="B49" s="186"/>
      <x:c r="C49" s="186"/>
      <x:c r="D49" s="186"/>
      <x:c r="E49" s="186"/>
      <x:c r="F49" s="186"/>
      <x:c r="G49" s="186"/>
      <x:c r="H49" s="186"/>
      <x:c r="I49" s="186"/>
      <x:c r="J49" s="186"/>
      <x:c r="K49" s="186"/>
      <x:c r="L49" s="186"/>
      <x:c r="M49" s="186"/>
      <x:c r="N49" s="186"/>
      <x:c r="O49" s="186"/>
      <x:c r="P49" s="186"/>
      <x:c r="Q49" s="186"/>
      <x:c r="R49" s="186"/>
      <x:c r="S49" s="186"/>
      <x:c r="T49" s="186"/>
      <x:c r="U49" s="186"/>
      <x:c r="V49" s="186"/>
      <x:c r="W49" s="186"/>
      <x:c r="X49" s="186"/>
      <x:c r="Y49" s="186"/>
      <x:c r="Z49" s="186"/>
    </x:row>
    <x:row r="50">
      <x:c r="A50" s="186"/>
      <x:c r="B50" s="186"/>
      <x:c r="C50" s="186"/>
      <x:c r="D50" s="186"/>
      <x:c r="E50" s="186"/>
      <x:c r="F50" s="186"/>
      <x:c r="G50" s="186"/>
      <x:c r="H50" s="186"/>
      <x:c r="I50" s="186"/>
      <x:c r="J50" s="186"/>
      <x:c r="K50" s="186"/>
      <x:c r="L50" s="186"/>
      <x:c r="M50" s="186"/>
      <x:c r="N50" s="186"/>
      <x:c r="O50" s="186"/>
      <x:c r="P50" s="186"/>
      <x:c r="Q50" s="186"/>
      <x:c r="R50" s="186"/>
      <x:c r="S50" s="186"/>
      <x:c r="T50" s="186"/>
      <x:c r="U50" s="186"/>
      <x:c r="V50" s="186"/>
      <x:c r="W50" s="186"/>
      <x:c r="X50" s="186"/>
      <x:c r="Y50" s="186"/>
      <x:c r="Z50" s="186"/>
    </x:row>
  </x:sheetData>
  <x:mergeCells>
    <x:mergeCell ref="A1:H1"/>
  </x:mergeCells>
  <x:conditionalFormatting sqref="D19:D24">
    <x:cfRule type="expression" dxfId="2" priority="1">
      <x:formula>D19="High"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5" hidden="0" customWidth="1"/>
    <x:col min="3" max="3" width="18" hidden="0" customWidth="1"/>
    <x:col min="4" max="4" width="38" hidden="0" customWidth="1"/>
    <x:col min="5" max="5" width="3" hidden="0" customWidth="1"/>
    <x:col min="6" max="6" width="3" hidden="0" customWidth="1"/>
  </x:cols>
  <x:sheetData>
    <x:row r="1">
      <x:c r="A1" s="24" t="str">
        <x:v>AetherGrid Systems — Executive Relationship Review</x:v>
      </x:c>
      <x:c r="B1" s="24"/>
      <x:c r="C1" s="24"/>
      <x:c r="D1" s="24"/>
      <x:c r="E1" s="24"/>
      <x:c r="F1" s="24"/>
      <x:c r="G1" s="186"/>
      <x:c r="H1" s="186"/>
      <x:c r="I1" s="186"/>
      <x:c r="J1" s="186"/>
      <x:c r="K1" s="186"/>
      <x:c r="L1" s="186"/>
      <x:c r="M1" s="186"/>
      <x:c r="N1" s="186"/>
      <x:c r="O1" s="186"/>
      <x:c r="P1" s="186"/>
      <x:c r="Q1" s="186"/>
      <x:c r="R1" s="186"/>
      <x:c r="S1" s="186"/>
      <x:c r="T1" s="186"/>
      <x:c r="U1" s="186"/>
      <x:c r="V1" s="186"/>
      <x:c r="W1" s="186"/>
      <x:c r="X1" s="186"/>
      <x:c r="Y1" s="186"/>
      <x:c r="Z1" s="186"/>
    </x:row>
    <x:row r="2">
      <x:c r="A2" s="187"/>
      <x:c r="B2" s="187"/>
      <x:c r="C2" s="187"/>
      <x:c r="D2" s="187"/>
      <x:c r="E2" s="187"/>
      <x:c r="F2" s="187"/>
      <x:c r="G2" s="186"/>
      <x:c r="H2" s="186"/>
      <x:c r="I2" s="186"/>
      <x:c r="J2" s="186"/>
      <x:c r="K2" s="186"/>
      <x:c r="L2" s="186"/>
      <x:c r="M2" s="186"/>
      <x:c r="N2" s="186"/>
      <x:c r="O2" s="186"/>
      <x:c r="P2" s="186"/>
      <x:c r="Q2" s="186"/>
      <x:c r="R2" s="186"/>
      <x:c r="S2" s="186"/>
      <x:c r="T2" s="186"/>
      <x:c r="U2" s="186"/>
      <x:c r="V2" s="186"/>
      <x:c r="W2" s="186"/>
      <x:c r="X2" s="186"/>
      <x:c r="Y2" s="186"/>
      <x:c r="Z2" s="186"/>
    </x:row>
    <x:row r="3">
      <x:c r="A3" s="26" t="str">
        <x:v>Client Snapshot</x:v>
      </x:c>
      <x:c r="B3" s="26" t="str"/>
      <x:c r="C3" s="187"/>
      <x:c r="D3" s="26" t="str">
        <x:v>Executive View</x:v>
      </x:c>
      <x:c r="E3" s="26" t="str">
        <x:v>Assessment</x:v>
      </x:c>
      <x:c r="F3" s="26" t="str">
        <x:v>Action</x:v>
      </x:c>
      <x:c r="G3" s="186"/>
      <x:c r="H3" s="186"/>
      <x:c r="I3" s="186"/>
      <x:c r="J3" s="186"/>
      <x:c r="K3" s="186"/>
      <x:c r="L3" s="186"/>
      <x:c r="M3" s="186"/>
      <x:c r="N3" s="186"/>
      <x:c r="O3" s="186"/>
      <x:c r="P3" s="186"/>
      <x:c r="Q3" s="186"/>
      <x:c r="R3" s="186"/>
      <x:c r="S3" s="186"/>
      <x:c r="T3" s="186"/>
      <x:c r="U3" s="186"/>
      <x:c r="V3" s="186"/>
      <x:c r="W3" s="186"/>
      <x:c r="X3" s="186"/>
      <x:c r="Y3" s="186"/>
      <x:c r="Z3" s="186"/>
    </x:row>
    <x:row r="4">
      <x:c r="A4" s="187" t="str">
        <x:v>2025 Revenue ($MM)</x:v>
      </x:c>
      <x:c r="B4" s="240" t="n">
        <x:v>255</x:v>
      </x:c>
      <x:c r="C4" s="187"/>
      <x:c r="D4" s="241" t="str">
        <x:v>Credit</x:v>
      </x:c>
      <x:c r="E4" s="187" t="str">
        <x:v>Supportive with downside sensitivity</x:v>
      </x:c>
      <x:c r="F4" s="187" t="str">
        <x:v>Maintain revolver; limit incremental term leverage</x:v>
      </x:c>
      <x:c r="G4" s="186"/>
      <x:c r="H4" s="186"/>
      <x:c r="I4" s="186"/>
      <x:c r="J4" s="186"/>
      <x:c r="K4" s="186"/>
      <x:c r="L4" s="186"/>
      <x:c r="M4" s="186"/>
      <x:c r="N4" s="186"/>
      <x:c r="O4" s="186"/>
      <x:c r="P4" s="186"/>
      <x:c r="Q4" s="186"/>
      <x:c r="R4" s="186"/>
      <x:c r="S4" s="186"/>
      <x:c r="T4" s="186"/>
      <x:c r="U4" s="186"/>
      <x:c r="V4" s="186"/>
      <x:c r="W4" s="186"/>
      <x:c r="X4" s="186"/>
      <x:c r="Y4" s="186"/>
      <x:c r="Z4" s="186"/>
    </x:row>
    <x:row r="5">
      <x:c r="A5" s="187" t="str">
        <x:v>2025 EBITDA Margin</x:v>
      </x:c>
      <x:c r="B5" s="242" t="n">
        <x:v>0.12941176470588237</x:v>
      </x:c>
      <x:c r="C5" s="187"/>
      <x:c r="D5" s="241" t="str">
        <x:v>Liquidity</x:v>
      </x:c>
      <x:c r="E5" s="187" t="str">
        <x:v>Improving</x:v>
      </x:c>
      <x:c r="F5" s="187" t="str">
        <x:v>Deepen operating deposits and liquidity visibility</x:v>
      </x:c>
      <x:c r="G5" s="186"/>
      <x:c r="H5" s="186"/>
      <x:c r="I5" s="186"/>
      <x:c r="J5" s="186"/>
      <x:c r="K5" s="186"/>
      <x:c r="L5" s="186"/>
      <x:c r="M5" s="186"/>
      <x:c r="N5" s="186"/>
      <x:c r="O5" s="186"/>
      <x:c r="P5" s="186"/>
      <x:c r="Q5" s="186"/>
      <x:c r="R5" s="186"/>
      <x:c r="S5" s="186"/>
      <x:c r="T5" s="186"/>
      <x:c r="U5" s="186"/>
      <x:c r="V5" s="186"/>
      <x:c r="W5" s="186"/>
      <x:c r="X5" s="186"/>
      <x:c r="Y5" s="186"/>
      <x:c r="Z5" s="186"/>
    </x:row>
    <x:row r="6">
      <x:c r="A6" s="187" t="str">
        <x:v>2025 Cash ($MM)</x:v>
      </x:c>
      <x:c r="B6" s="240" t="n">
        <x:v>48</x:v>
      </x:c>
      <x:c r="C6" s="187"/>
      <x:c r="D6" s="241" t="str">
        <x:v>Treasury</x:v>
      </x:c>
      <x:c r="E6" s="187" t="str">
        <x:v>Underpenetrated</x:v>
      </x:c>
      <x:c r="F6" s="187" t="str">
        <x:v>Prioritize receivables, payments, cash management</x:v>
      </x:c>
      <x:c r="G6" s="186"/>
      <x:c r="H6" s="186"/>
      <x:c r="I6" s="186"/>
      <x:c r="J6" s="186"/>
      <x:c r="K6" s="186"/>
      <x:c r="L6" s="186"/>
      <x:c r="M6" s="186"/>
      <x:c r="N6" s="186"/>
      <x:c r="O6" s="186"/>
      <x:c r="P6" s="186"/>
      <x:c r="Q6" s="186"/>
      <x:c r="R6" s="186"/>
      <x:c r="S6" s="186"/>
      <x:c r="T6" s="186"/>
      <x:c r="U6" s="186"/>
      <x:c r="V6" s="186"/>
      <x:c r="W6" s="186"/>
      <x:c r="X6" s="186"/>
      <x:c r="Y6" s="186"/>
      <x:c r="Z6" s="186"/>
    </x:row>
    <x:row r="7">
      <x:c r="A7" s="187" t="str">
        <x:v>2025 Debt ($MM)</x:v>
      </x:c>
      <x:c r="B7" s="240" t="n">
        <x:v>80</x:v>
      </x:c>
      <x:c r="C7" s="187"/>
      <x:c r="D7" s="241" t="str">
        <x:v>FX</x:v>
      </x:c>
      <x:c r="E7" s="187" t="str">
        <x:v>Emerging need</x:v>
      </x:c>
      <x:c r="F7" s="187" t="str">
        <x:v>Map exposures as international revenue grows</x:v>
      </x:c>
      <x:c r="G7" s="186"/>
      <x:c r="H7" s="186"/>
      <x:c r="I7" s="186"/>
      <x:c r="J7" s="186"/>
      <x:c r="K7" s="186"/>
      <x:c r="L7" s="186"/>
      <x:c r="M7" s="186"/>
      <x:c r="N7" s="186"/>
      <x:c r="O7" s="186"/>
      <x:c r="P7" s="186"/>
      <x:c r="Q7" s="186"/>
      <x:c r="R7" s="186"/>
      <x:c r="S7" s="186"/>
      <x:c r="T7" s="186"/>
      <x:c r="U7" s="186"/>
      <x:c r="V7" s="186"/>
      <x:c r="W7" s="186"/>
      <x:c r="X7" s="186"/>
      <x:c r="Y7" s="186"/>
      <x:c r="Z7" s="186"/>
    </x:row>
    <x:row r="8">
      <x:c r="A8" s="187" t="str">
        <x:v>2025 Net Leverage</x:v>
      </x:c>
      <x:c r="B8" s="243" t="n">
        <x:v>0.9696969696969697</x:v>
      </x:c>
      <x:c r="C8" s="187"/>
      <x:c r="D8" s="241" t="str">
        <x:v>Growth</x:v>
      </x:c>
      <x:c r="E8" s="187" t="str">
        <x:v>Strong but moderating</x:v>
      </x:c>
      <x:c r="F8" s="187" t="str">
        <x:v>Validate customer retention and renewal pipeline</x:v>
      </x:c>
      <x:c r="G8" s="186"/>
      <x:c r="H8" s="186"/>
      <x:c r="I8" s="186"/>
      <x:c r="J8" s="186"/>
      <x:c r="K8" s="186"/>
      <x:c r="L8" s="186"/>
      <x:c r="M8" s="186"/>
      <x:c r="N8" s="186"/>
      <x:c r="O8" s="186"/>
      <x:c r="P8" s="186"/>
      <x:c r="Q8" s="186"/>
      <x:c r="R8" s="186"/>
      <x:c r="S8" s="186"/>
      <x:c r="T8" s="186"/>
      <x:c r="U8" s="186"/>
      <x:c r="V8" s="186"/>
      <x:c r="W8" s="186"/>
      <x:c r="X8" s="186"/>
      <x:c r="Y8" s="186"/>
      <x:c r="Z8" s="186"/>
    </x:row>
    <x:row r="9">
      <x:c r="A9" s="187" t="str">
        <x:v>2026E Base DSCR</x:v>
      </x:c>
      <x:c r="B9" s="243" t="n">
        <x:v>2.41</x:v>
      </x:c>
      <x:c r="C9" s="187"/>
      <x:c r="D9" s="241" t="str">
        <x:v>Relationship</x:v>
      </x:c>
      <x:c r="E9" s="187" t="str">
        <x:v>Expandable</x:v>
      </x:c>
      <x:c r="F9" s="187" t="str">
        <x:v>Schedule CFO / Treasurer strategic review</x:v>
      </x:c>
      <x:c r="G9" s="186"/>
      <x:c r="H9" s="186"/>
      <x:c r="I9" s="186"/>
      <x:c r="J9" s="186"/>
      <x:c r="K9" s="186"/>
      <x:c r="L9" s="186"/>
      <x:c r="M9" s="186"/>
      <x:c r="N9" s="186"/>
      <x:c r="O9" s="186"/>
      <x:c r="P9" s="186"/>
      <x:c r="Q9" s="186"/>
      <x:c r="R9" s="186"/>
      <x:c r="S9" s="186"/>
      <x:c r="T9" s="186"/>
      <x:c r="U9" s="186"/>
      <x:c r="V9" s="186"/>
      <x:c r="W9" s="186"/>
      <x:c r="X9" s="186"/>
      <x:c r="Y9" s="186"/>
      <x:c r="Z9" s="186"/>
    </x:row>
    <x:row r="10">
      <x:c r="A10" s="187" t="str">
        <x:v>2026E Downside DSCR</x:v>
      </x:c>
      <x:c r="B10" s="243" t="n">
        <x:v>1.29</x:v>
      </x:c>
      <x:c r="C10" s="187"/>
      <x:c r="D10" s="187"/>
      <x:c r="E10" s="187"/>
      <x:c r="F10" s="187"/>
      <x:c r="G10" s="186"/>
      <x:c r="H10" s="186"/>
      <x:c r="I10" s="186"/>
      <x:c r="J10" s="186"/>
      <x:c r="K10" s="186"/>
      <x:c r="L10" s="186"/>
      <x:c r="M10" s="186"/>
      <x:c r="N10" s="186"/>
      <x:c r="O10" s="186"/>
      <x:c r="P10" s="186"/>
      <x:c r="Q10" s="186"/>
      <x:c r="R10" s="186"/>
      <x:c r="S10" s="186"/>
      <x:c r="T10" s="186"/>
      <x:c r="U10" s="186"/>
      <x:c r="V10" s="186"/>
      <x:c r="W10" s="186"/>
      <x:c r="X10" s="186"/>
      <x:c r="Y10" s="186"/>
      <x:c r="Z10" s="186"/>
    </x:row>
    <x:row r="11">
      <x:c r="A11" s="187"/>
      <x:c r="B11" s="187"/>
      <x:c r="C11" s="187"/>
      <x:c r="D11" s="187"/>
      <x:c r="E11" s="187"/>
      <x:c r="F11" s="187"/>
      <x:c r="G11" s="186"/>
      <x:c r="H11" s="186"/>
      <x:c r="I11" s="186"/>
      <x:c r="J11" s="186"/>
      <x:c r="K11" s="186"/>
      <x:c r="L11" s="186"/>
      <x:c r="M11" s="186"/>
      <x:c r="N11" s="186"/>
      <x:c r="O11" s="186"/>
      <x:c r="P11" s="186"/>
      <x:c r="Q11" s="186"/>
      <x:c r="R11" s="186"/>
      <x:c r="S11" s="186"/>
      <x:c r="T11" s="186"/>
      <x:c r="U11" s="186"/>
      <x:c r="V11" s="186"/>
      <x:c r="W11" s="186"/>
      <x:c r="X11" s="186"/>
      <x:c r="Y11" s="186"/>
      <x:c r="Z11" s="186"/>
    </x:row>
    <x:row r="12">
      <x:c r="A12" s="187"/>
      <x:c r="B12" s="187"/>
      <x:c r="C12" s="187"/>
      <x:c r="D12" s="187"/>
      <x:c r="E12" s="187"/>
      <x:c r="F12" s="187"/>
      <x:c r="G12" s="186"/>
      <x:c r="H12" s="186"/>
      <x:c r="I12" s="186"/>
      <x:c r="J12" s="186"/>
      <x:c r="K12" s="186"/>
      <x:c r="L12" s="186"/>
      <x:c r="M12" s="186"/>
      <x:c r="N12" s="186"/>
      <x:c r="O12" s="186"/>
      <x:c r="P12" s="186"/>
      <x:c r="Q12" s="186"/>
      <x:c r="R12" s="186"/>
      <x:c r="S12" s="186"/>
      <x:c r="T12" s="186"/>
      <x:c r="U12" s="186"/>
      <x:c r="V12" s="186"/>
      <x:c r="W12" s="186"/>
      <x:c r="X12" s="186"/>
      <x:c r="Y12" s="186"/>
      <x:c r="Z12" s="186"/>
    </x:row>
    <x:row r="13">
      <x:c r="A13" s="26" t="str">
        <x:v>Next-Step Workplan</x:v>
      </x:c>
      <x:c r="B13" s="26" t="str">
        <x:v>Owner</x:v>
      </x:c>
      <x:c r="C13" s="26" t="str">
        <x:v>Timing</x:v>
      </x:c>
      <x:c r="D13" s="26" t="str">
        <x:v>Decision / Deliverable</x:v>
      </x:c>
      <x:c r="E13" s="26" t="str"/>
      <x:c r="F13" s="26" t="str"/>
      <x:c r="G13" s="186"/>
      <x:c r="H13" s="186"/>
      <x:c r="I13" s="186"/>
      <x:c r="J13" s="186"/>
      <x:c r="K13" s="186"/>
      <x:c r="L13" s="186"/>
      <x:c r="M13" s="186"/>
      <x:c r="N13" s="186"/>
      <x:c r="O13" s="186"/>
      <x:c r="P13" s="186"/>
      <x:c r="Q13" s="186"/>
      <x:c r="R13" s="186"/>
      <x:c r="S13" s="186"/>
      <x:c r="T13" s="186"/>
      <x:c r="U13" s="186"/>
      <x:c r="V13" s="186"/>
      <x:c r="W13" s="186"/>
      <x:c r="X13" s="186"/>
      <x:c r="Y13" s="186"/>
      <x:c r="Z13" s="186"/>
    </x:row>
    <x:row r="14">
      <x:c r="A14" s="187" t="str">
        <x:v>2026 operating-plan review</x:v>
      </x:c>
      <x:c r="B14" s="187" t="str">
        <x:v>Relationship Manager + Client</x:v>
      </x:c>
      <x:c r="C14" s="187" t="str">
        <x:v>Next meeting</x:v>
      </x:c>
      <x:c r="D14" s="187" t="str">
        <x:v>Validate revenue and margin assumptions</x:v>
      </x:c>
      <x:c r="E14" s="187" t="str"/>
      <x:c r="F14" s="187" t="str"/>
      <x:c r="G14" s="186"/>
      <x:c r="H14" s="186"/>
      <x:c r="I14" s="186"/>
      <x:c r="J14" s="186"/>
      <x:c r="K14" s="186"/>
      <x:c r="L14" s="186"/>
      <x:c r="M14" s="186"/>
      <x:c r="N14" s="186"/>
      <x:c r="O14" s="186"/>
      <x:c r="P14" s="186"/>
      <x:c r="Q14" s="186"/>
      <x:c r="R14" s="186"/>
      <x:c r="S14" s="186"/>
      <x:c r="T14" s="186"/>
      <x:c r="U14" s="186"/>
      <x:c r="V14" s="186"/>
      <x:c r="W14" s="186"/>
      <x:c r="X14" s="186"/>
      <x:c r="Y14" s="186"/>
      <x:c r="Z14" s="186"/>
    </x:row>
    <x:row r="15">
      <x:c r="A15" s="187" t="str">
        <x:v>Downside underwriting refresh</x:v>
      </x:c>
      <x:c r="B15" s="187" t="str">
        <x:v>Credit Partner</x:v>
      </x:c>
      <x:c r="C15" s="187" t="str">
        <x:v>Near term</x:v>
      </x:c>
      <x:c r="D15" s="187" t="str">
        <x:v>Test cash flow and debt service</x:v>
      </x:c>
      <x:c r="E15" s="187" t="str"/>
      <x:c r="F15" s="187" t="str"/>
      <x:c r="G15" s="186"/>
      <x:c r="H15" s="186"/>
      <x:c r="I15" s="186"/>
      <x:c r="J15" s="186"/>
      <x:c r="K15" s="186"/>
      <x:c r="L15" s="186"/>
      <x:c r="M15" s="186"/>
      <x:c r="N15" s="186"/>
      <x:c r="O15" s="186"/>
      <x:c r="P15" s="186"/>
      <x:c r="Q15" s="186"/>
      <x:c r="R15" s="186"/>
      <x:c r="S15" s="186"/>
      <x:c r="T15" s="186"/>
      <x:c r="U15" s="186"/>
      <x:c r="V15" s="186"/>
      <x:c r="W15" s="186"/>
      <x:c r="X15" s="186"/>
      <x:c r="Y15" s="186"/>
      <x:c r="Z15" s="186"/>
    </x:row>
    <x:row r="16">
      <x:c r="A16" s="187" t="str">
        <x:v>Treasury architecture mapping</x:v>
      </x:c>
      <x:c r="B16" s="187" t="str">
        <x:v>Treasury Specialist</x:v>
      </x:c>
      <x:c r="C16" s="187" t="str">
        <x:v>Near term</x:v>
      </x:c>
      <x:c r="D16" s="187" t="str">
        <x:v>Collections, disbursements, deposits, controls</x:v>
      </x:c>
      <x:c r="E16" s="187" t="str"/>
      <x:c r="F16" s="187" t="str"/>
      <x:c r="G16" s="186"/>
      <x:c r="H16" s="186"/>
      <x:c r="I16" s="186"/>
      <x:c r="J16" s="186"/>
      <x:c r="K16" s="186"/>
      <x:c r="L16" s="186"/>
      <x:c r="M16" s="186"/>
      <x:c r="N16" s="186"/>
      <x:c r="O16" s="186"/>
      <x:c r="P16" s="186"/>
      <x:c r="Q16" s="186"/>
      <x:c r="R16" s="186"/>
      <x:c r="S16" s="186"/>
      <x:c r="T16" s="186"/>
      <x:c r="U16" s="186"/>
      <x:c r="V16" s="186"/>
      <x:c r="W16" s="186"/>
      <x:c r="X16" s="186"/>
      <x:c r="Y16" s="186"/>
      <x:c r="Z16" s="186"/>
    </x:row>
    <x:row r="17">
      <x:c r="A17" s="187" t="str">
        <x:v>FX exposure assessment</x:v>
      </x:c>
      <x:c r="B17" s="187" t="str">
        <x:v>FX Specialist</x:v>
      </x:c>
      <x:c r="C17" s="187" t="str">
        <x:v>Near term</x:v>
      </x:c>
      <x:c r="D17" s="187" t="str">
        <x:v>Currency map and policy discussion</x:v>
      </x:c>
      <x:c r="E17" s="187" t="str"/>
      <x:c r="F17" s="187" t="str"/>
      <x:c r="G17" s="186"/>
      <x:c r="H17" s="186"/>
      <x:c r="I17" s="186"/>
      <x:c r="J17" s="186"/>
      <x:c r="K17" s="186"/>
      <x:c r="L17" s="186"/>
      <x:c r="M17" s="186"/>
      <x:c r="N17" s="186"/>
      <x:c r="O17" s="186"/>
      <x:c r="P17" s="186"/>
      <x:c r="Q17" s="186"/>
      <x:c r="R17" s="186"/>
      <x:c r="S17" s="186"/>
      <x:c r="T17" s="186"/>
      <x:c r="U17" s="186"/>
      <x:c r="V17" s="186"/>
      <x:c r="W17" s="186"/>
      <x:c r="X17" s="186"/>
      <x:c r="Y17" s="186"/>
      <x:c r="Z17" s="186"/>
    </x:row>
    <x:row r="18">
      <x:c r="A18" s="187" t="str">
        <x:v>Strategic financing watch</x:v>
      </x:c>
      <x:c r="B18" s="187" t="str">
        <x:v>Investment Banking</x:v>
      </x:c>
      <x:c r="C18" s="187" t="str">
        <x:v>12–24 months</x:v>
      </x:c>
      <x:c r="D18" s="187" t="str">
        <x:v>Monitor M&amp;A / capital-raising needs</x:v>
      </x:c>
      <x:c r="E18" s="187" t="str"/>
      <x:c r="F18" s="187" t="str"/>
      <x:c r="G18" s="186"/>
      <x:c r="H18" s="186"/>
      <x:c r="I18" s="186"/>
      <x:c r="J18" s="186"/>
      <x:c r="K18" s="186"/>
      <x:c r="L18" s="186"/>
      <x:c r="M18" s="186"/>
      <x:c r="N18" s="186"/>
      <x:c r="O18" s="186"/>
      <x:c r="P18" s="186"/>
      <x:c r="Q18" s="186"/>
      <x:c r="R18" s="186"/>
      <x:c r="S18" s="186"/>
      <x:c r="T18" s="186"/>
      <x:c r="U18" s="186"/>
      <x:c r="V18" s="186"/>
      <x:c r="W18" s="186"/>
      <x:c r="X18" s="186"/>
      <x:c r="Y18" s="186"/>
      <x:c r="Z18" s="186"/>
    </x:row>
    <x:row r="19">
      <x:c r="A19" s="187" t="str">
        <x:v>Quarterly relationship review</x:v>
      </x:c>
      <x:c r="B19" s="187" t="str">
        <x:v>Coverage Team</x:v>
      </x:c>
      <x:c r="C19" s="187" t="str">
        <x:v>Quarterly</x:v>
      </x:c>
      <x:c r="D19" s="187" t="str">
        <x:v>Track risk + wallet expansion</x:v>
      </x:c>
      <x:c r="E19" s="187" t="str"/>
      <x:c r="F19" s="187" t="str"/>
      <x:c r="G19" s="186"/>
      <x:c r="H19" s="186"/>
      <x:c r="I19" s="186"/>
      <x:c r="J19" s="186"/>
      <x:c r="K19" s="186"/>
      <x:c r="L19" s="186"/>
      <x:c r="M19" s="186"/>
      <x:c r="N19" s="186"/>
      <x:c r="O19" s="186"/>
      <x:c r="P19" s="186"/>
      <x:c r="Q19" s="186"/>
      <x:c r="R19" s="186"/>
      <x:c r="S19" s="186"/>
      <x:c r="T19" s="186"/>
      <x:c r="U19" s="186"/>
      <x:c r="V19" s="186"/>
      <x:c r="W19" s="186"/>
      <x:c r="X19" s="186"/>
      <x:c r="Y19" s="186"/>
      <x:c r="Z19" s="186"/>
    </x:row>
    <x:row r="20">
      <x:c r="A20" s="187"/>
      <x:c r="B20" s="187"/>
      <x:c r="C20" s="187"/>
      <x:c r="D20" s="187"/>
      <x:c r="E20" s="187"/>
      <x:c r="F20" s="187"/>
      <x:c r="G20" s="186"/>
      <x:c r="H20" s="186"/>
      <x:c r="I20" s="186"/>
      <x:c r="J20" s="186"/>
      <x:c r="K20" s="186"/>
      <x:c r="L20" s="186"/>
      <x:c r="M20" s="186"/>
      <x:c r="N20" s="186"/>
      <x:c r="O20" s="186"/>
      <x:c r="P20" s="186"/>
      <x:c r="Q20" s="186"/>
      <x:c r="R20" s="186"/>
      <x:c r="S20" s="186"/>
      <x:c r="T20" s="186"/>
      <x:c r="U20" s="186"/>
      <x:c r="V20" s="186"/>
      <x:c r="W20" s="186"/>
      <x:c r="X20" s="186"/>
      <x:c r="Y20" s="186"/>
      <x:c r="Z20" s="186"/>
    </x:row>
    <x:row r="21">
      <x:c r="A21" s="186"/>
      <x:c r="B21" s="186"/>
      <x:c r="C21" s="186"/>
      <x:c r="D21" s="186"/>
      <x:c r="E21" s="186"/>
      <x:c r="F21" s="186"/>
      <x:c r="G21" s="186"/>
      <x:c r="H21" s="186"/>
      <x:c r="I21" s="186"/>
      <x:c r="J21" s="186"/>
      <x:c r="K21" s="186"/>
      <x:c r="L21" s="186"/>
      <x:c r="M21" s="186"/>
      <x:c r="N21" s="186"/>
      <x:c r="O21" s="186"/>
      <x:c r="P21" s="186"/>
      <x:c r="Q21" s="186"/>
      <x:c r="R21" s="186"/>
      <x:c r="S21" s="186"/>
      <x:c r="T21" s="186"/>
      <x:c r="U21" s="186"/>
      <x:c r="V21" s="186"/>
      <x:c r="W21" s="186"/>
      <x:c r="X21" s="186"/>
      <x:c r="Y21" s="186"/>
      <x:c r="Z21" s="186"/>
    </x:row>
    <x:row r="22">
      <x:c r="A22" s="186"/>
      <x:c r="B22" s="186"/>
      <x:c r="C22" s="186"/>
      <x:c r="D22" s="186"/>
      <x:c r="E22" s="186"/>
      <x:c r="F22" s="186"/>
      <x:c r="G22" s="186"/>
      <x:c r="H22" s="186"/>
      <x:c r="I22" s="186"/>
      <x:c r="J22" s="186"/>
      <x:c r="K22" s="186"/>
      <x:c r="L22" s="186"/>
      <x:c r="M22" s="186"/>
      <x:c r="N22" s="186"/>
      <x:c r="O22" s="186"/>
      <x:c r="P22" s="186"/>
      <x:c r="Q22" s="186"/>
      <x:c r="R22" s="186"/>
      <x:c r="S22" s="186"/>
      <x:c r="T22" s="186"/>
      <x:c r="U22" s="186"/>
      <x:c r="V22" s="186"/>
      <x:c r="W22" s="186"/>
      <x:c r="X22" s="186"/>
      <x:c r="Y22" s="186"/>
      <x:c r="Z22" s="186"/>
    </x:row>
    <x:row r="23">
      <x:c r="A23" s="186"/>
      <x:c r="B23" s="186"/>
      <x:c r="C23" s="186"/>
      <x:c r="D23" s="186"/>
      <x:c r="E23" s="186"/>
      <x:c r="F23" s="186"/>
      <x:c r="G23" s="186"/>
      <x:c r="H23" s="186"/>
      <x:c r="I23" s="186"/>
      <x:c r="J23" s="186"/>
      <x:c r="K23" s="186"/>
      <x:c r="L23" s="186"/>
      <x:c r="M23" s="186"/>
      <x:c r="N23" s="186"/>
      <x:c r="O23" s="186"/>
      <x:c r="P23" s="186"/>
      <x:c r="Q23" s="186"/>
      <x:c r="R23" s="186"/>
      <x:c r="S23" s="186"/>
      <x:c r="T23" s="186"/>
      <x:c r="U23" s="186"/>
      <x:c r="V23" s="186"/>
      <x:c r="W23" s="186"/>
      <x:c r="X23" s="186"/>
      <x:c r="Y23" s="186"/>
      <x:c r="Z23" s="186"/>
    </x:row>
    <x:row r="24">
      <x:c r="A24" s="186"/>
      <x:c r="B24" s="186"/>
      <x:c r="C24" s="186"/>
      <x:c r="D24" s="186"/>
      <x:c r="E24" s="186"/>
      <x:c r="F24" s="186"/>
      <x:c r="G24" s="186"/>
      <x:c r="H24" s="186"/>
      <x:c r="I24" s="186"/>
      <x:c r="J24" s="186"/>
      <x:c r="K24" s="186"/>
      <x:c r="L24" s="186"/>
      <x:c r="M24" s="186"/>
      <x:c r="N24" s="186"/>
      <x:c r="O24" s="186"/>
      <x:c r="P24" s="186"/>
      <x:c r="Q24" s="186"/>
      <x:c r="R24" s="186"/>
      <x:c r="S24" s="186"/>
      <x:c r="T24" s="186"/>
      <x:c r="U24" s="186"/>
      <x:c r="V24" s="186"/>
      <x:c r="W24" s="186"/>
      <x:c r="X24" s="186"/>
      <x:c r="Y24" s="186"/>
      <x:c r="Z24" s="186"/>
    </x:row>
    <x:row r="25">
      <x:c r="A25" s="186"/>
      <x:c r="B25" s="186"/>
      <x:c r="C25" s="186"/>
      <x:c r="D25" s="186"/>
      <x:c r="E25" s="186"/>
      <x:c r="F25" s="186"/>
      <x:c r="G25" s="186"/>
      <x:c r="H25" s="186"/>
      <x:c r="I25" s="186"/>
      <x:c r="J25" s="186"/>
      <x:c r="K25" s="186"/>
      <x:c r="L25" s="186"/>
      <x:c r="M25" s="186"/>
      <x:c r="N25" s="186"/>
      <x:c r="O25" s="186"/>
      <x:c r="P25" s="186"/>
      <x:c r="Q25" s="186"/>
      <x:c r="R25" s="186"/>
      <x:c r="S25" s="186"/>
      <x:c r="T25" s="186"/>
      <x:c r="U25" s="186"/>
      <x:c r="V25" s="186"/>
      <x:c r="W25" s="186"/>
      <x:c r="X25" s="186"/>
      <x:c r="Y25" s="186"/>
      <x:c r="Z25" s="186"/>
    </x:row>
    <x:row r="26">
      <x:c r="A26" s="186"/>
      <x:c r="B26" s="186"/>
      <x:c r="C26" s="186"/>
      <x:c r="D26" s="186"/>
      <x:c r="E26" s="186"/>
      <x:c r="F26" s="186"/>
      <x:c r="G26" s="186"/>
      <x:c r="H26" s="186"/>
      <x:c r="I26" s="186"/>
      <x:c r="J26" s="186"/>
      <x:c r="K26" s="186"/>
      <x:c r="L26" s="186"/>
      <x:c r="M26" s="186"/>
      <x:c r="N26" s="186"/>
      <x:c r="O26" s="186"/>
      <x:c r="P26" s="186"/>
      <x:c r="Q26" s="186"/>
      <x:c r="R26" s="186"/>
      <x:c r="S26" s="186"/>
      <x:c r="T26" s="186"/>
      <x:c r="U26" s="186"/>
      <x:c r="V26" s="186"/>
      <x:c r="W26" s="186"/>
      <x:c r="X26" s="186"/>
      <x:c r="Y26" s="186"/>
      <x:c r="Z26" s="186"/>
    </x:row>
    <x:row r="27">
      <x:c r="A27" s="186"/>
      <x:c r="B27" s="186"/>
      <x:c r="C27" s="186"/>
      <x:c r="D27" s="186"/>
      <x:c r="E27" s="186"/>
      <x:c r="F27" s="186"/>
      <x:c r="G27" s="186"/>
      <x:c r="H27" s="186"/>
      <x:c r="I27" s="186"/>
      <x:c r="J27" s="186"/>
      <x:c r="K27" s="186"/>
      <x:c r="L27" s="186"/>
      <x:c r="M27" s="186"/>
      <x:c r="N27" s="186"/>
      <x:c r="O27" s="186"/>
      <x:c r="P27" s="186"/>
      <x:c r="Q27" s="186"/>
      <x:c r="R27" s="186"/>
      <x:c r="S27" s="186"/>
      <x:c r="T27" s="186"/>
      <x:c r="U27" s="186"/>
      <x:c r="V27" s="186"/>
      <x:c r="W27" s="186"/>
      <x:c r="X27" s="186"/>
      <x:c r="Y27" s="186"/>
      <x:c r="Z27" s="186"/>
    </x:row>
    <x:row r="28">
      <x:c r="A28" s="186"/>
      <x:c r="B28" s="186"/>
      <x:c r="C28" s="186"/>
      <x:c r="D28" s="186"/>
      <x:c r="E28" s="186"/>
      <x:c r="F28" s="186"/>
      <x:c r="G28" s="186"/>
      <x:c r="H28" s="186"/>
      <x:c r="I28" s="186"/>
      <x:c r="J28" s="186"/>
      <x:c r="K28" s="186"/>
      <x:c r="L28" s="186"/>
      <x:c r="M28" s="186"/>
      <x:c r="N28" s="186"/>
      <x:c r="O28" s="186"/>
      <x:c r="P28" s="186"/>
      <x:c r="Q28" s="186"/>
      <x:c r="R28" s="186"/>
      <x:c r="S28" s="186"/>
      <x:c r="T28" s="186"/>
      <x:c r="U28" s="186"/>
      <x:c r="V28" s="186"/>
      <x:c r="W28" s="186"/>
      <x:c r="X28" s="186"/>
      <x:c r="Y28" s="186"/>
      <x:c r="Z28" s="186"/>
    </x:row>
    <x:row r="29">
      <x:c r="A29" s="186"/>
      <x:c r="B29" s="186"/>
      <x:c r="C29" s="186"/>
      <x:c r="D29" s="186"/>
      <x:c r="E29" s="186"/>
      <x:c r="F29" s="186"/>
      <x:c r="G29" s="186"/>
      <x:c r="H29" s="186"/>
      <x:c r="I29" s="186"/>
      <x:c r="J29" s="186"/>
      <x:c r="K29" s="186"/>
      <x:c r="L29" s="186"/>
      <x:c r="M29" s="186"/>
      <x:c r="N29" s="186"/>
      <x:c r="O29" s="186"/>
      <x:c r="P29" s="186"/>
      <x:c r="Q29" s="186"/>
      <x:c r="R29" s="186"/>
      <x:c r="S29" s="186"/>
      <x:c r="T29" s="186"/>
      <x:c r="U29" s="186"/>
      <x:c r="V29" s="186"/>
      <x:c r="W29" s="186"/>
      <x:c r="X29" s="186"/>
      <x:c r="Y29" s="186"/>
      <x:c r="Z29" s="186"/>
    </x:row>
    <x:row r="30">
      <x:c r="A30" s="186"/>
      <x:c r="B30" s="186"/>
      <x:c r="C30" s="186"/>
      <x:c r="D30" s="186"/>
      <x:c r="E30" s="186"/>
      <x:c r="F30" s="186"/>
      <x:c r="G30" s="186"/>
      <x:c r="H30" s="186"/>
      <x:c r="I30" s="186"/>
      <x:c r="J30" s="186"/>
      <x:c r="K30" s="186"/>
      <x:c r="L30" s="186"/>
      <x:c r="M30" s="186"/>
      <x:c r="N30" s="186"/>
      <x:c r="O30" s="186"/>
      <x:c r="P30" s="186"/>
      <x:c r="Q30" s="186"/>
      <x:c r="R30" s="186"/>
      <x:c r="S30" s="186"/>
      <x:c r="T30" s="186"/>
      <x:c r="U30" s="186"/>
      <x:c r="V30" s="186"/>
      <x:c r="W30" s="186"/>
      <x:c r="X30" s="186"/>
      <x:c r="Y30" s="186"/>
      <x:c r="Z30" s="186"/>
    </x:row>
    <x:row r="31">
      <x:c r="A31" s="186"/>
      <x:c r="B31" s="186"/>
      <x:c r="C31" s="186"/>
      <x:c r="D31" s="186"/>
      <x:c r="E31" s="186"/>
      <x:c r="F31" s="186"/>
      <x:c r="G31" s="186"/>
      <x:c r="H31" s="186"/>
      <x:c r="I31" s="186"/>
      <x:c r="J31" s="186"/>
      <x:c r="K31" s="186"/>
      <x:c r="L31" s="186"/>
      <x:c r="M31" s="186"/>
      <x:c r="N31" s="186"/>
      <x:c r="O31" s="186"/>
      <x:c r="P31" s="186"/>
      <x:c r="Q31" s="186"/>
      <x:c r="R31" s="186"/>
      <x:c r="S31" s="186"/>
      <x:c r="T31" s="186"/>
      <x:c r="U31" s="186"/>
      <x:c r="V31" s="186"/>
      <x:c r="W31" s="186"/>
      <x:c r="X31" s="186"/>
      <x:c r="Y31" s="186"/>
      <x:c r="Z31" s="186"/>
    </x:row>
    <x:row r="32">
      <x:c r="A32" s="186"/>
      <x:c r="B32" s="186"/>
      <x:c r="C32" s="186"/>
      <x:c r="D32" s="186"/>
      <x:c r="E32" s="186"/>
      <x:c r="F32" s="186"/>
      <x:c r="G32" s="186"/>
      <x:c r="H32" s="186"/>
      <x:c r="I32" s="186"/>
      <x:c r="J32" s="186"/>
      <x:c r="K32" s="186"/>
      <x:c r="L32" s="186"/>
      <x:c r="M32" s="186"/>
      <x:c r="N32" s="186"/>
      <x:c r="O32" s="186"/>
      <x:c r="P32" s="186"/>
      <x:c r="Q32" s="186"/>
      <x:c r="R32" s="186"/>
      <x:c r="S32" s="186"/>
      <x:c r="T32" s="186"/>
      <x:c r="U32" s="186"/>
      <x:c r="V32" s="186"/>
      <x:c r="W32" s="186"/>
      <x:c r="X32" s="186"/>
      <x:c r="Y32" s="186"/>
      <x:c r="Z32" s="186"/>
    </x:row>
    <x:row r="33">
      <x:c r="A33" s="186"/>
      <x:c r="B33" s="186"/>
      <x:c r="C33" s="186"/>
      <x:c r="D33" s="186"/>
      <x:c r="E33" s="186"/>
      <x:c r="F33" s="186"/>
      <x:c r="G33" s="186"/>
      <x:c r="H33" s="186"/>
      <x:c r="I33" s="186"/>
      <x:c r="J33" s="186"/>
      <x:c r="K33" s="186"/>
      <x:c r="L33" s="186"/>
      <x:c r="M33" s="186"/>
      <x:c r="N33" s="186"/>
      <x:c r="O33" s="186"/>
      <x:c r="P33" s="186"/>
      <x:c r="Q33" s="186"/>
      <x:c r="R33" s="186"/>
      <x:c r="S33" s="186"/>
      <x:c r="T33" s="186"/>
      <x:c r="U33" s="186"/>
      <x:c r="V33" s="186"/>
      <x:c r="W33" s="186"/>
      <x:c r="X33" s="186"/>
      <x:c r="Y33" s="186"/>
      <x:c r="Z33" s="186"/>
    </x:row>
    <x:row r="34">
      <x:c r="A34" s="186"/>
      <x:c r="B34" s="186"/>
      <x:c r="C34" s="186"/>
      <x:c r="D34" s="186"/>
      <x:c r="E34" s="186"/>
      <x:c r="F34" s="186"/>
      <x:c r="G34" s="186"/>
      <x:c r="H34" s="186"/>
      <x:c r="I34" s="186"/>
      <x:c r="J34" s="186"/>
      <x:c r="K34" s="186"/>
      <x:c r="L34" s="186"/>
      <x:c r="M34" s="186"/>
      <x:c r="N34" s="186"/>
      <x:c r="O34" s="186"/>
      <x:c r="P34" s="186"/>
      <x:c r="Q34" s="186"/>
      <x:c r="R34" s="186"/>
      <x:c r="S34" s="186"/>
      <x:c r="T34" s="186"/>
      <x:c r="U34" s="186"/>
      <x:c r="V34" s="186"/>
      <x:c r="W34" s="186"/>
      <x:c r="X34" s="186"/>
      <x:c r="Y34" s="186"/>
      <x:c r="Z34" s="186"/>
    </x:row>
    <x:row r="35">
      <x:c r="A35" s="186"/>
      <x:c r="B35" s="186"/>
      <x:c r="C35" s="186"/>
      <x:c r="D35" s="186"/>
      <x:c r="E35" s="186"/>
      <x:c r="F35" s="186"/>
      <x:c r="G35" s="186"/>
      <x:c r="H35" s="186"/>
      <x:c r="I35" s="186"/>
      <x:c r="J35" s="186"/>
      <x:c r="K35" s="186"/>
      <x:c r="L35" s="186"/>
      <x:c r="M35" s="186"/>
      <x:c r="N35" s="186"/>
      <x:c r="O35" s="186"/>
      <x:c r="P35" s="186"/>
      <x:c r="Q35" s="186"/>
      <x:c r="R35" s="186"/>
      <x:c r="S35" s="186"/>
      <x:c r="T35" s="186"/>
      <x:c r="U35" s="186"/>
      <x:c r="V35" s="186"/>
      <x:c r="W35" s="186"/>
      <x:c r="X35" s="186"/>
      <x:c r="Y35" s="186"/>
      <x:c r="Z35" s="186"/>
    </x:row>
    <x:row r="36">
      <x:c r="A36" s="186"/>
      <x:c r="B36" s="186"/>
      <x:c r="C36" s="186"/>
      <x:c r="D36" s="186"/>
      <x:c r="E36" s="186"/>
      <x:c r="F36" s="186"/>
      <x:c r="G36" s="186"/>
      <x:c r="H36" s="186"/>
      <x:c r="I36" s="186"/>
      <x:c r="J36" s="186"/>
      <x:c r="K36" s="186"/>
      <x:c r="L36" s="186"/>
      <x:c r="M36" s="186"/>
      <x:c r="N36" s="186"/>
      <x:c r="O36" s="186"/>
      <x:c r="P36" s="186"/>
      <x:c r="Q36" s="186"/>
      <x:c r="R36" s="186"/>
      <x:c r="S36" s="186"/>
      <x:c r="T36" s="186"/>
      <x:c r="U36" s="186"/>
      <x:c r="V36" s="186"/>
      <x:c r="W36" s="186"/>
      <x:c r="X36" s="186"/>
      <x:c r="Y36" s="186"/>
      <x:c r="Z36" s="186"/>
    </x:row>
    <x:row r="37">
      <x:c r="A37" s="186"/>
      <x:c r="B37" s="186"/>
      <x:c r="C37" s="186"/>
      <x:c r="D37" s="186"/>
      <x:c r="E37" s="186"/>
      <x:c r="F37" s="186"/>
      <x:c r="G37" s="186"/>
      <x:c r="H37" s="186"/>
      <x:c r="I37" s="186"/>
      <x:c r="J37" s="186"/>
      <x:c r="K37" s="186"/>
      <x:c r="L37" s="186"/>
      <x:c r="M37" s="186"/>
      <x:c r="N37" s="186"/>
      <x:c r="O37" s="186"/>
      <x:c r="P37" s="186"/>
      <x:c r="Q37" s="186"/>
      <x:c r="R37" s="186"/>
      <x:c r="S37" s="186"/>
      <x:c r="T37" s="186"/>
      <x:c r="U37" s="186"/>
      <x:c r="V37" s="186"/>
      <x:c r="W37" s="186"/>
      <x:c r="X37" s="186"/>
      <x:c r="Y37" s="186"/>
      <x:c r="Z37" s="186"/>
    </x:row>
    <x:row r="38">
      <x:c r="A38" s="186"/>
      <x:c r="B38" s="186"/>
      <x:c r="C38" s="186"/>
      <x:c r="D38" s="186"/>
      <x:c r="E38" s="186"/>
      <x:c r="F38" s="186"/>
      <x:c r="G38" s="186"/>
      <x:c r="H38" s="186"/>
      <x:c r="I38" s="186"/>
      <x:c r="J38" s="186"/>
      <x:c r="K38" s="186"/>
      <x:c r="L38" s="186"/>
      <x:c r="M38" s="186"/>
      <x:c r="N38" s="186"/>
      <x:c r="O38" s="186"/>
      <x:c r="P38" s="186"/>
      <x:c r="Q38" s="186"/>
      <x:c r="R38" s="186"/>
      <x:c r="S38" s="186"/>
      <x:c r="T38" s="186"/>
      <x:c r="U38" s="186"/>
      <x:c r="V38" s="186"/>
      <x:c r="W38" s="186"/>
      <x:c r="X38" s="186"/>
      <x:c r="Y38" s="186"/>
      <x:c r="Z38" s="186"/>
    </x:row>
    <x:row r="39">
      <x:c r="A39" s="186"/>
      <x:c r="B39" s="186"/>
      <x:c r="C39" s="186"/>
      <x:c r="D39" s="186"/>
      <x:c r="E39" s="186"/>
      <x:c r="F39" s="186"/>
      <x:c r="G39" s="186"/>
      <x:c r="H39" s="186"/>
      <x:c r="I39" s="186"/>
      <x:c r="J39" s="186"/>
      <x:c r="K39" s="186"/>
      <x:c r="L39" s="186"/>
      <x:c r="M39" s="186"/>
      <x:c r="N39" s="186"/>
      <x:c r="O39" s="186"/>
      <x:c r="P39" s="186"/>
      <x:c r="Q39" s="186"/>
      <x:c r="R39" s="186"/>
      <x:c r="S39" s="186"/>
      <x:c r="T39" s="186"/>
      <x:c r="U39" s="186"/>
      <x:c r="V39" s="186"/>
      <x:c r="W39" s="186"/>
      <x:c r="X39" s="186"/>
      <x:c r="Y39" s="186"/>
      <x:c r="Z39" s="186"/>
    </x:row>
    <x:row r="40">
      <x:c r="A40" s="186"/>
      <x:c r="B40" s="186"/>
      <x:c r="C40" s="186"/>
      <x:c r="D40" s="186"/>
      <x:c r="E40" s="186"/>
      <x:c r="F40" s="186"/>
      <x:c r="G40" s="186"/>
      <x:c r="H40" s="186"/>
      <x:c r="I40" s="186"/>
      <x:c r="J40" s="186"/>
      <x:c r="K40" s="186"/>
      <x:c r="L40" s="186"/>
      <x:c r="M40" s="186"/>
      <x:c r="N40" s="186"/>
      <x:c r="O40" s="186"/>
      <x:c r="P40" s="186"/>
      <x:c r="Q40" s="186"/>
      <x:c r="R40" s="186"/>
      <x:c r="S40" s="186"/>
      <x:c r="T40" s="186"/>
      <x:c r="U40" s="186"/>
      <x:c r="V40" s="186"/>
      <x:c r="W40" s="186"/>
      <x:c r="X40" s="186"/>
      <x:c r="Y40" s="186"/>
      <x:c r="Z40" s="186"/>
    </x:row>
    <x:row r="41">
      <x:c r="A41" s="186"/>
      <x:c r="B41" s="186"/>
      <x:c r="C41" s="186"/>
      <x:c r="D41" s="186"/>
      <x:c r="E41" s="186"/>
      <x:c r="F41" s="186"/>
      <x:c r="G41" s="186"/>
      <x:c r="H41" s="186"/>
      <x:c r="I41" s="186"/>
      <x:c r="J41" s="186"/>
      <x:c r="K41" s="186"/>
      <x:c r="L41" s="186"/>
      <x:c r="M41" s="186"/>
      <x:c r="N41" s="186"/>
      <x:c r="O41" s="186"/>
      <x:c r="P41" s="186"/>
      <x:c r="Q41" s="186"/>
      <x:c r="R41" s="186"/>
      <x:c r="S41" s="186"/>
      <x:c r="T41" s="186"/>
      <x:c r="U41" s="186"/>
      <x:c r="V41" s="186"/>
      <x:c r="W41" s="186"/>
      <x:c r="X41" s="186"/>
      <x:c r="Y41" s="186"/>
      <x:c r="Z41" s="186"/>
    </x:row>
    <x:row r="42">
      <x:c r="A42" s="186"/>
      <x:c r="B42" s="186"/>
      <x:c r="C42" s="186"/>
      <x:c r="D42" s="186"/>
      <x:c r="E42" s="186"/>
      <x:c r="F42" s="186"/>
      <x:c r="G42" s="186"/>
      <x:c r="H42" s="186"/>
      <x:c r="I42" s="186"/>
      <x:c r="J42" s="186"/>
      <x:c r="K42" s="186"/>
      <x:c r="L42" s="186"/>
      <x:c r="M42" s="186"/>
      <x:c r="N42" s="186"/>
      <x:c r="O42" s="186"/>
      <x:c r="P42" s="186"/>
      <x:c r="Q42" s="186"/>
      <x:c r="R42" s="186"/>
      <x:c r="S42" s="186"/>
      <x:c r="T42" s="186"/>
      <x:c r="U42" s="186"/>
      <x:c r="V42" s="186"/>
      <x:c r="W42" s="186"/>
      <x:c r="X42" s="186"/>
      <x:c r="Y42" s="186"/>
      <x:c r="Z42" s="186"/>
    </x:row>
    <x:row r="43">
      <x:c r="A43" s="186"/>
      <x:c r="B43" s="186"/>
      <x:c r="C43" s="186"/>
      <x:c r="D43" s="186"/>
      <x:c r="E43" s="186"/>
      <x:c r="F43" s="186"/>
      <x:c r="G43" s="186"/>
      <x:c r="H43" s="186"/>
      <x:c r="I43" s="186"/>
      <x:c r="J43" s="186"/>
      <x:c r="K43" s="186"/>
      <x:c r="L43" s="186"/>
      <x:c r="M43" s="186"/>
      <x:c r="N43" s="186"/>
      <x:c r="O43" s="186"/>
      <x:c r="P43" s="186"/>
      <x:c r="Q43" s="186"/>
      <x:c r="R43" s="186"/>
      <x:c r="S43" s="186"/>
      <x:c r="T43" s="186"/>
      <x:c r="U43" s="186"/>
      <x:c r="V43" s="186"/>
      <x:c r="W43" s="186"/>
      <x:c r="X43" s="186"/>
      <x:c r="Y43" s="186"/>
      <x:c r="Z43" s="186"/>
    </x:row>
    <x:row r="44">
      <x:c r="A44" s="186"/>
      <x:c r="B44" s="186"/>
      <x:c r="C44" s="186"/>
      <x:c r="D44" s="186"/>
      <x:c r="E44" s="186"/>
      <x:c r="F44" s="186"/>
      <x:c r="G44" s="186"/>
      <x:c r="H44" s="186"/>
      <x:c r="I44" s="186"/>
      <x:c r="J44" s="186"/>
      <x:c r="K44" s="186"/>
      <x:c r="L44" s="186"/>
      <x:c r="M44" s="186"/>
      <x:c r="N44" s="186"/>
      <x:c r="O44" s="186"/>
      <x:c r="P44" s="186"/>
      <x:c r="Q44" s="186"/>
      <x:c r="R44" s="186"/>
      <x:c r="S44" s="186"/>
      <x:c r="T44" s="186"/>
      <x:c r="U44" s="186"/>
      <x:c r="V44" s="186"/>
      <x:c r="W44" s="186"/>
      <x:c r="X44" s="186"/>
      <x:c r="Y44" s="186"/>
      <x:c r="Z44" s="186"/>
    </x:row>
    <x:row r="45">
      <x:c r="A45" s="186"/>
      <x:c r="B45" s="186"/>
      <x:c r="C45" s="186"/>
      <x:c r="D45" s="186"/>
      <x:c r="E45" s="186"/>
      <x:c r="F45" s="186"/>
      <x:c r="G45" s="186"/>
      <x:c r="H45" s="186"/>
      <x:c r="I45" s="186"/>
      <x:c r="J45" s="186"/>
      <x:c r="K45" s="186"/>
      <x:c r="L45" s="186"/>
      <x:c r="M45" s="186"/>
      <x:c r="N45" s="186"/>
      <x:c r="O45" s="186"/>
      <x:c r="P45" s="186"/>
      <x:c r="Q45" s="186"/>
      <x:c r="R45" s="186"/>
      <x:c r="S45" s="186"/>
      <x:c r="T45" s="186"/>
      <x:c r="U45" s="186"/>
      <x:c r="V45" s="186"/>
      <x:c r="W45" s="186"/>
      <x:c r="X45" s="186"/>
      <x:c r="Y45" s="186"/>
      <x:c r="Z45" s="186"/>
    </x:row>
    <x:row r="46">
      <x:c r="A46" s="186"/>
      <x:c r="B46" s="186"/>
      <x:c r="C46" s="186"/>
      <x:c r="D46" s="186"/>
      <x:c r="E46" s="186"/>
      <x:c r="F46" s="186"/>
      <x:c r="G46" s="186"/>
      <x:c r="H46" s="186"/>
      <x:c r="I46" s="186"/>
      <x:c r="J46" s="186"/>
      <x:c r="K46" s="186"/>
      <x:c r="L46" s="186"/>
      <x:c r="M46" s="186"/>
      <x:c r="N46" s="186"/>
      <x:c r="O46" s="186"/>
      <x:c r="P46" s="186"/>
      <x:c r="Q46" s="186"/>
      <x:c r="R46" s="186"/>
      <x:c r="S46" s="186"/>
      <x:c r="T46" s="186"/>
      <x:c r="U46" s="186"/>
      <x:c r="V46" s="186"/>
      <x:c r="W46" s="186"/>
      <x:c r="X46" s="186"/>
      <x:c r="Y46" s="186"/>
      <x:c r="Z46" s="186"/>
    </x:row>
    <x:row r="47">
      <x:c r="A47" s="186"/>
      <x:c r="B47" s="186"/>
      <x:c r="C47" s="186"/>
      <x:c r="D47" s="186"/>
      <x:c r="E47" s="186"/>
      <x:c r="F47" s="186"/>
      <x:c r="G47" s="186"/>
      <x:c r="H47" s="186"/>
      <x:c r="I47" s="186"/>
      <x:c r="J47" s="186"/>
      <x:c r="K47" s="186"/>
      <x:c r="L47" s="186"/>
      <x:c r="M47" s="186"/>
      <x:c r="N47" s="186"/>
      <x:c r="O47" s="186"/>
      <x:c r="P47" s="186"/>
      <x:c r="Q47" s="186"/>
      <x:c r="R47" s="186"/>
      <x:c r="S47" s="186"/>
      <x:c r="T47" s="186"/>
      <x:c r="U47" s="186"/>
      <x:c r="V47" s="186"/>
      <x:c r="W47" s="186"/>
      <x:c r="X47" s="186"/>
      <x:c r="Y47" s="186"/>
      <x:c r="Z47" s="186"/>
    </x:row>
    <x:row r="48">
      <x:c r="A48" s="186"/>
      <x:c r="B48" s="186"/>
      <x:c r="C48" s="186"/>
      <x:c r="D48" s="186"/>
      <x:c r="E48" s="186"/>
      <x:c r="F48" s="186"/>
      <x:c r="G48" s="186"/>
      <x:c r="H48" s="186"/>
      <x:c r="I48" s="186"/>
      <x:c r="J48" s="186"/>
      <x:c r="K48" s="186"/>
      <x:c r="L48" s="186"/>
      <x:c r="M48" s="186"/>
      <x:c r="N48" s="186"/>
      <x:c r="O48" s="186"/>
      <x:c r="P48" s="186"/>
      <x:c r="Q48" s="186"/>
      <x:c r="R48" s="186"/>
      <x:c r="S48" s="186"/>
      <x:c r="T48" s="186"/>
      <x:c r="U48" s="186"/>
      <x:c r="V48" s="186"/>
      <x:c r="W48" s="186"/>
      <x:c r="X48" s="186"/>
      <x:c r="Y48" s="186"/>
      <x:c r="Z48" s="186"/>
    </x:row>
    <x:row r="49">
      <x:c r="A49" s="186"/>
      <x:c r="B49" s="186"/>
      <x:c r="C49" s="186"/>
      <x:c r="D49" s="186"/>
      <x:c r="E49" s="186"/>
      <x:c r="F49" s="186"/>
      <x:c r="G49" s="186"/>
      <x:c r="H49" s="186"/>
      <x:c r="I49" s="186"/>
      <x:c r="J49" s="186"/>
      <x:c r="K49" s="186"/>
      <x:c r="L49" s="186"/>
      <x:c r="M49" s="186"/>
      <x:c r="N49" s="186"/>
      <x:c r="O49" s="186"/>
      <x:c r="P49" s="186"/>
      <x:c r="Q49" s="186"/>
      <x:c r="R49" s="186"/>
      <x:c r="S49" s="186"/>
      <x:c r="T49" s="186"/>
      <x:c r="U49" s="186"/>
      <x:c r="V49" s="186"/>
      <x:c r="W49" s="186"/>
      <x:c r="X49" s="186"/>
      <x:c r="Y49" s="186"/>
      <x:c r="Z49" s="186"/>
    </x:row>
    <x:row r="50">
      <x:c r="A50" s="186"/>
      <x:c r="B50" s="186"/>
      <x:c r="C50" s="186"/>
      <x:c r="D50" s="186"/>
      <x:c r="E50" s="186"/>
      <x:c r="F50" s="186"/>
      <x:c r="G50" s="186"/>
      <x:c r="H50" s="186"/>
      <x:c r="I50" s="186"/>
      <x:c r="J50" s="186"/>
      <x:c r="K50" s="186"/>
      <x:c r="L50" s="186"/>
      <x:c r="M50" s="186"/>
      <x:c r="N50" s="186"/>
      <x:c r="O50" s="186"/>
      <x:c r="P50" s="186"/>
      <x:c r="Q50" s="186"/>
      <x:c r="R50" s="186"/>
      <x:c r="S50" s="186"/>
      <x:c r="T50" s="186"/>
      <x:c r="U50" s="186"/>
      <x:c r="V50" s="186"/>
      <x:c r="W50" s="186"/>
      <x:c r="X50" s="186"/>
      <x:c r="Y50" s="186"/>
      <x:c r="Z50" s="186"/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16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24" t="str">
        <x:v>Transformative Technology Commercial Banking — Executive Dashboard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186"/>
      <x:c r="N1" s="186"/>
      <x:c r="O1" s="186"/>
      <x:c r="P1" s="186"/>
      <x:c r="Q1" s="186"/>
      <x:c r="R1" s="186"/>
      <x:c r="S1" s="186"/>
      <x:c r="T1" s="186"/>
      <x:c r="U1" s="186"/>
      <x:c r="V1" s="186"/>
      <x:c r="W1" s="186"/>
      <x:c r="X1" s="186"/>
      <x:c r="Y1" s="186"/>
      <x:c r="Z1" s="186"/>
    </x:row>
    <x:row r="2">
      <x:c r="A2" s="187"/>
      <x:c r="B2" s="187"/>
      <x:c r="C2" s="187"/>
      <x:c r="D2" s="187"/>
      <x:c r="E2" s="187"/>
      <x:c r="F2" s="187"/>
      <x:c r="G2" s="187"/>
      <x:c r="H2" s="187"/>
      <x:c r="I2" s="187"/>
      <x:c r="J2" s="187"/>
      <x:c r="K2" s="187"/>
      <x:c r="L2" s="187"/>
      <x:c r="M2" s="186"/>
      <x:c r="N2" s="186"/>
      <x:c r="O2" s="186"/>
      <x:c r="P2" s="186"/>
      <x:c r="Q2" s="186"/>
      <x:c r="R2" s="186"/>
      <x:c r="S2" s="186"/>
      <x:c r="T2" s="186"/>
      <x:c r="U2" s="186"/>
      <x:c r="V2" s="186"/>
      <x:c r="W2" s="186"/>
      <x:c r="X2" s="186"/>
      <x:c r="Y2" s="186"/>
      <x:c r="Z2" s="186"/>
    </x:row>
    <x:row r="3">
      <x:c r="A3" s="166" t="str">
        <x:v>Portfolio Companies</x:v>
      </x:c>
      <x:c r="B3" s="167"/>
      <x:c r="C3" s="166" t="str">
        <x:v>Portfolio Revenue ($MM)</x:v>
      </x:c>
      <x:c r="D3" s="167"/>
      <x:c r="E3" s="166" t="str">
        <x:v>Flagship 2025 Revenue ($MM)</x:v>
      </x:c>
      <x:c r="F3" s="167"/>
      <x:c r="G3" s="166" t="str">
        <x:v>2026E Base DSCR</x:v>
      </x:c>
      <x:c r="H3" s="167"/>
      <x:c r="I3" s="166" t="str">
        <x:v>2026E Downside DSCR</x:v>
      </x:c>
      <x:c r="J3" s="167"/>
      <x:c r="K3" s="166" t="str">
        <x:v>Illustrative RCF ($MM)</x:v>
      </x:c>
      <x:c r="L3" s="167"/>
      <x:c r="M3" s="186"/>
      <x:c r="N3" s="186"/>
      <x:c r="O3" s="186"/>
      <x:c r="P3" s="186"/>
      <x:c r="Q3" s="186"/>
      <x:c r="R3" s="186"/>
      <x:c r="S3" s="186"/>
      <x:c r="T3" s="186"/>
      <x:c r="U3" s="186"/>
      <x:c r="V3" s="186"/>
      <x:c r="W3" s="186"/>
      <x:c r="X3" s="186"/>
      <x:c r="Y3" s="186"/>
      <x:c r="Z3" s="186"/>
    </x:row>
    <x:row r="4">
      <x:c r="A4" s="168" t="n">
        <x:v>12</x:v>
      </x:c>
      <x:c r="B4" s="169"/>
      <x:c r="C4" s="170" t="n">
        <x:v>5614</x:v>
      </x:c>
      <x:c r="D4" s="169"/>
      <x:c r="E4" s="170" t="n">
        <x:v>255</x:v>
      </x:c>
      <x:c r="F4" s="169"/>
      <x:c r="G4" s="171" t="n">
        <x:v>2.41</x:v>
      </x:c>
      <x:c r="H4" s="169"/>
      <x:c r="I4" s="171" t="n">
        <x:v>1.29</x:v>
      </x:c>
      <x:c r="J4" s="169"/>
      <x:c r="K4" s="170" t="n">
        <x:v>50</x:v>
      </x:c>
      <x:c r="L4" s="169"/>
      <x:c r="M4" s="186"/>
      <x:c r="N4" s="186"/>
      <x:c r="O4" s="186"/>
      <x:c r="P4" s="186"/>
      <x:c r="Q4" s="186"/>
      <x:c r="R4" s="186"/>
      <x:c r="S4" s="186"/>
      <x:c r="T4" s="186"/>
      <x:c r="U4" s="186"/>
      <x:c r="V4" s="186"/>
      <x:c r="W4" s="186"/>
      <x:c r="X4" s="186"/>
      <x:c r="Y4" s="186"/>
      <x:c r="Z4" s="186"/>
    </x:row>
    <x:row r="5">
      <x:c r="A5" s="172"/>
      <x:c r="B5" s="173"/>
      <x:c r="C5" s="172"/>
      <x:c r="D5" s="173"/>
      <x:c r="E5" s="172"/>
      <x:c r="F5" s="173"/>
      <x:c r="G5" s="172"/>
      <x:c r="H5" s="173"/>
      <x:c r="I5" s="172"/>
      <x:c r="J5" s="173"/>
      <x:c r="K5" s="172"/>
      <x:c r="L5" s="173"/>
      <x:c r="M5" s="186"/>
      <x:c r="N5" s="186"/>
      <x:c r="O5" s="186"/>
      <x:c r="P5" s="186"/>
      <x:c r="Q5" s="186"/>
      <x:c r="R5" s="186"/>
      <x:c r="S5" s="186"/>
      <x:c r="T5" s="186"/>
      <x:c r="U5" s="186"/>
      <x:c r="V5" s="186"/>
      <x:c r="W5" s="186"/>
      <x:c r="X5" s="186"/>
      <x:c r="Y5" s="186"/>
      <x:c r="Z5" s="186"/>
    </x:row>
    <x:row r="6">
      <x:c r="A6" s="187"/>
      <x:c r="B6" s="187"/>
      <x:c r="C6" s="187"/>
      <x:c r="D6" s="187"/>
      <x:c r="E6" s="187"/>
      <x:c r="F6" s="187"/>
      <x:c r="G6" s="187"/>
      <x:c r="H6" s="187"/>
      <x:c r="I6" s="187"/>
      <x:c r="J6" s="187"/>
      <x:c r="K6" s="187"/>
      <x:c r="L6" s="187"/>
      <x:c r="M6" s="186"/>
      <x:c r="N6" s="186"/>
      <x:c r="O6" s="186"/>
      <x:c r="P6" s="186"/>
      <x:c r="Q6" s="186"/>
      <x:c r="R6" s="186"/>
      <x:c r="S6" s="186"/>
      <x:c r="T6" s="186"/>
      <x:c r="U6" s="186"/>
      <x:c r="V6" s="186"/>
      <x:c r="W6" s="186"/>
      <x:c r="X6" s="186"/>
      <x:c r="Y6" s="186"/>
      <x:c r="Z6" s="186"/>
    </x:row>
    <x:row r="7">
      <x:c r="A7" s="187"/>
      <x:c r="B7" s="187"/>
      <x:c r="C7" s="187"/>
      <x:c r="D7" s="187"/>
      <x:c r="E7" s="187"/>
      <x:c r="F7" s="187"/>
      <x:c r="G7" s="187"/>
      <x:c r="H7" s="187"/>
      <x:c r="I7" s="187"/>
      <x:c r="J7" s="187"/>
      <x:c r="K7" s="187"/>
      <x:c r="L7" s="187"/>
      <x:c r="M7" s="186"/>
      <x:c r="N7" s="186"/>
      <x:c r="O7" s="186"/>
      <x:c r="P7" s="186"/>
      <x:c r="Q7" s="186"/>
      <x:c r="R7" s="186"/>
      <x:c r="S7" s="186"/>
      <x:c r="T7" s="186"/>
      <x:c r="U7" s="186"/>
      <x:c r="V7" s="186"/>
      <x:c r="W7" s="186"/>
      <x:c r="X7" s="186"/>
      <x:c r="Y7" s="186"/>
      <x:c r="Z7" s="186"/>
    </x:row>
    <x:row r="8">
      <x:c r="A8" s="26" t="str">
        <x:v>Top Coverage Priorities</x:v>
      </x:c>
      <x:c r="B8" s="26" t="str">
        <x:v>Status</x:v>
      </x:c>
      <x:c r="C8" s="26" t="str">
        <x:v>Revenue ($MM)</x:v>
      </x:c>
      <x:c r="D8" s="26" t="str">
        <x:v>Credit Score</x:v>
      </x:c>
      <x:c r="E8" s="26" t="str">
        <x:v>Opportunity Score</x:v>
      </x:c>
      <x:c r="F8" s="26" t="str">
        <x:v>Priority Score</x:v>
      </x:c>
      <x:c r="G8" s="187"/>
      <x:c r="H8" s="26" t="str">
        <x:v>Flagship Executive Recommendation</x:v>
      </x:c>
      <x:c r="I8" s="26"/>
      <x:c r="J8" s="26"/>
      <x:c r="K8" s="26"/>
      <x:c r="L8" s="26"/>
      <x:c r="M8" s="186"/>
      <x:c r="N8" s="186"/>
      <x:c r="O8" s="186"/>
      <x:c r="P8" s="186"/>
      <x:c r="Q8" s="186"/>
      <x:c r="R8" s="186"/>
      <x:c r="S8" s="186"/>
      <x:c r="T8" s="186"/>
      <x:c r="U8" s="186"/>
      <x:c r="V8" s="186"/>
      <x:c r="W8" s="186"/>
      <x:c r="X8" s="186"/>
      <x:c r="Y8" s="186"/>
      <x:c r="Z8" s="186"/>
    </x:row>
    <x:row r="9">
      <x:c r="A9" s="187" t="str">
        <x:v>AtlasEdge Systems</x:v>
      </x:c>
      <x:c r="B9" s="187" t="str">
        <x:v>Client</x:v>
      </x:c>
      <x:c r="C9" s="248" t="n">
        <x:v>1180</x:v>
      </x:c>
      <x:c r="D9" s="249" t="n">
        <x:v>76.4</x:v>
      </x:c>
      <x:c r="E9" s="249" t="n">
        <x:v>95.4</x:v>
      </x:c>
      <x:c r="F9" s="249" t="n">
        <x:v>83</x:v>
      </x:c>
      <x:c r="G9" s="187"/>
      <x:c r="H9" s="250" t="str">
        <x:v>Maintain revolving-credit flexibility subject to formal underwriting; avoid aggressive incremental term leverage. Deepen receivables, operating-liquidity, global payments, and FX penetration. Monitor NRR, customer concentration, margin execution, and downside DSCR each quarter.</x:v>
      </x:c>
      <x:c r="I9" s="250"/>
      <x:c r="J9" s="250"/>
      <x:c r="K9" s="250"/>
      <x:c r="L9" s="250"/>
      <x:c r="M9" s="186"/>
      <x:c r="N9" s="186"/>
      <x:c r="O9" s="186"/>
      <x:c r="P9" s="186"/>
      <x:c r="Q9" s="186"/>
      <x:c r="R9" s="186"/>
      <x:c r="S9" s="186"/>
      <x:c r="T9" s="186"/>
      <x:c r="U9" s="186"/>
      <x:c r="V9" s="186"/>
      <x:c r="W9" s="186"/>
      <x:c r="X9" s="186"/>
      <x:c r="Y9" s="186"/>
      <x:c r="Z9" s="186"/>
    </x:row>
    <x:row r="10">
      <x:c r="A10" s="187" t="str">
        <x:v>QuantumRoute Networks</x:v>
      </x:c>
      <x:c r="B10" s="187" t="str">
        <x:v>Client</x:v>
      </x:c>
      <x:c r="C10" s="248" t="n">
        <x:v>940</x:v>
      </x:c>
      <x:c r="D10" s="249" t="n">
        <x:v>74.4</x:v>
      </x:c>
      <x:c r="E10" s="249" t="n">
        <x:v>85.4</x:v>
      </x:c>
      <x:c r="F10" s="249" t="n">
        <x:v>78.2</x:v>
      </x:c>
      <x:c r="G10" s="187"/>
      <x:c r="H10" s="250"/>
      <x:c r="I10" s="250"/>
      <x:c r="J10" s="250"/>
      <x:c r="K10" s="250"/>
      <x:c r="L10" s="250"/>
      <x:c r="M10" s="186"/>
      <x:c r="N10" s="186"/>
      <x:c r="O10" s="186"/>
      <x:c r="P10" s="186"/>
      <x:c r="Q10" s="186"/>
      <x:c r="R10" s="186"/>
      <x:c r="S10" s="186"/>
      <x:c r="T10" s="186"/>
      <x:c r="U10" s="186"/>
      <x:c r="V10" s="186"/>
      <x:c r="W10" s="186"/>
      <x:c r="X10" s="186"/>
      <x:c r="Y10" s="186"/>
      <x:c r="Z10" s="186"/>
    </x:row>
    <x:row r="11">
      <x:c r="A11" s="187" t="str">
        <x:v>CipherNorth Security</x:v>
      </x:c>
      <x:c r="B11" s="187" t="str">
        <x:v>Prospect</x:v>
      </x:c>
      <x:c r="C11" s="248" t="n">
        <x:v>410</x:v>
      </x:c>
      <x:c r="D11" s="249" t="n">
        <x:v>86.5</x:v>
      </x:c>
      <x:c r="E11" s="249" t="n">
        <x:v>52.9</x:v>
      </x:c>
      <x:c r="F11" s="249" t="n">
        <x:v>74.7</x:v>
      </x:c>
      <x:c r="G11" s="187"/>
      <x:c r="H11" s="250"/>
      <x:c r="I11" s="250"/>
      <x:c r="J11" s="250"/>
      <x:c r="K11" s="250"/>
      <x:c r="L11" s="250"/>
      <x:c r="M11" s="186"/>
      <x:c r="N11" s="186"/>
      <x:c r="O11" s="186"/>
      <x:c r="P11" s="186"/>
      <x:c r="Q11" s="186"/>
      <x:c r="R11" s="186"/>
      <x:c r="S11" s="186"/>
      <x:c r="T11" s="186"/>
      <x:c r="U11" s="186"/>
      <x:c r="V11" s="186"/>
      <x:c r="W11" s="186"/>
      <x:c r="X11" s="186"/>
      <x:c r="Y11" s="186"/>
      <x:c r="Z11" s="186"/>
    </x:row>
    <x:row r="12">
      <x:c r="A12" s="187" t="str">
        <x:v>HelioStack Cloud</x:v>
      </x:c>
      <x:c r="B12" s="187" t="str">
        <x:v>Client</x:v>
      </x:c>
      <x:c r="C12" s="248" t="n">
        <x:v>780</x:v>
      </x:c>
      <x:c r="D12" s="249" t="n">
        <x:v>71.3</x:v>
      </x:c>
      <x:c r="E12" s="249" t="n">
        <x:v>73.5</x:v>
      </x:c>
      <x:c r="F12" s="249" t="n">
        <x:v>72</x:v>
      </x:c>
      <x:c r="G12" s="187"/>
      <x:c r="H12" s="250"/>
      <x:c r="I12" s="250"/>
      <x:c r="J12" s="250"/>
      <x:c r="K12" s="250"/>
      <x:c r="L12" s="250"/>
      <x:c r="M12" s="186"/>
      <x:c r="N12" s="186"/>
      <x:c r="O12" s="186"/>
      <x:c r="P12" s="186"/>
      <x:c r="Q12" s="186"/>
      <x:c r="R12" s="186"/>
      <x:c r="S12" s="186"/>
      <x:c r="T12" s="186"/>
      <x:c r="U12" s="186"/>
      <x:c r="V12" s="186"/>
      <x:c r="W12" s="186"/>
      <x:c r="X12" s="186"/>
      <x:c r="Y12" s="186"/>
      <x:c r="Z12" s="186"/>
    </x:row>
    <x:row r="13">
      <x:c r="A13" s="187" t="str">
        <x:v>CoreTransit Software</x:v>
      </x:c>
      <x:c r="B13" s="187" t="str">
        <x:v>Client</x:v>
      </x:c>
      <x:c r="C13" s="248" t="n">
        <x:v>305</x:v>
      </x:c>
      <x:c r="D13" s="249" t="n">
        <x:v>85.6</x:v>
      </x:c>
      <x:c r="E13" s="249" t="n">
        <x:v>29.4</x:v>
      </x:c>
      <x:c r="F13" s="249" t="n">
        <x:v>65.9</x:v>
      </x:c>
      <x:c r="G13" s="187"/>
      <x:c r="H13" s="250"/>
      <x:c r="I13" s="250"/>
      <x:c r="J13" s="250"/>
      <x:c r="K13" s="250"/>
      <x:c r="L13" s="250"/>
      <x:c r="M13" s="186"/>
      <x:c r="N13" s="186"/>
      <x:c r="O13" s="186"/>
      <x:c r="P13" s="186"/>
      <x:c r="Q13" s="186"/>
      <x:c r="R13" s="186"/>
      <x:c r="S13" s="186"/>
      <x:c r="T13" s="186"/>
      <x:c r="U13" s="186"/>
      <x:c r="V13" s="186"/>
      <x:c r="W13" s="186"/>
      <x:c r="X13" s="186"/>
      <x:c r="Y13" s="186"/>
      <x:c r="Z13" s="186"/>
    </x:row>
    <x:row r="14">
      <x:c r="A14" s="187"/>
      <x:c r="B14" s="187"/>
      <x:c r="C14" s="187"/>
      <x:c r="D14" s="187"/>
      <x:c r="E14" s="187"/>
      <x:c r="F14" s="187"/>
      <x:c r="G14" s="187"/>
      <x:c r="H14" s="250"/>
      <x:c r="I14" s="250"/>
      <x:c r="J14" s="250"/>
      <x:c r="K14" s="250"/>
      <x:c r="L14" s="250"/>
      <x:c r="M14" s="186"/>
      <x:c r="N14" s="186"/>
      <x:c r="O14" s="186"/>
      <x:c r="P14" s="186"/>
      <x:c r="Q14" s="186"/>
      <x:c r="R14" s="186"/>
      <x:c r="S14" s="186"/>
      <x:c r="T14" s="186"/>
      <x:c r="U14" s="186"/>
      <x:c r="V14" s="186"/>
      <x:c r="W14" s="186"/>
      <x:c r="X14" s="186"/>
      <x:c r="Y14" s="186"/>
      <x:c r="Z14" s="186"/>
    </x:row>
    <x:row r="15">
      <x:c r="A15" s="187"/>
      <x:c r="B15" s="187"/>
      <x:c r="C15" s="187"/>
      <x:c r="D15" s="187"/>
      <x:c r="E15" s="187"/>
      <x:c r="F15" s="187"/>
      <x:c r="G15" s="187"/>
      <x:c r="H15" s="187"/>
      <x:c r="I15" s="187"/>
      <x:c r="J15" s="187"/>
      <x:c r="K15" s="187"/>
      <x:c r="L15" s="187"/>
      <x:c r="M15" s="186"/>
      <x:c r="N15" s="186"/>
      <x:c r="O15" s="186"/>
      <x:c r="P15" s="186"/>
      <x:c r="Q15" s="186"/>
      <x:c r="R15" s="186"/>
      <x:c r="S15" s="186"/>
      <x:c r="T15" s="186"/>
      <x:c r="U15" s="186"/>
      <x:c r="V15" s="186"/>
      <x:c r="W15" s="186"/>
      <x:c r="X15" s="186"/>
      <x:c r="Y15" s="186"/>
      <x:c r="Z15" s="186"/>
    </x:row>
    <x:row r="16">
      <x:c r="A16" s="187"/>
      <x:c r="B16" s="187"/>
      <x:c r="C16" s="187"/>
      <x:c r="D16" s="187"/>
      <x:c r="E16" s="187"/>
      <x:c r="F16" s="187"/>
      <x:c r="G16" s="187"/>
      <x:c r="H16" s="187"/>
      <x:c r="I16" s="187"/>
      <x:c r="J16" s="187"/>
      <x:c r="K16" s="187"/>
      <x:c r="L16" s="187"/>
      <x:c r="M16" s="186"/>
      <x:c r="N16" s="186"/>
      <x:c r="O16" s="186"/>
      <x:c r="P16" s="186"/>
      <x:c r="Q16" s="186"/>
      <x:c r="R16" s="186"/>
      <x:c r="S16" s="186"/>
      <x:c r="T16" s="186"/>
      <x:c r="U16" s="186"/>
      <x:c r="V16" s="186"/>
      <x:c r="W16" s="186"/>
      <x:c r="X16" s="186"/>
      <x:c r="Y16" s="186"/>
      <x:c r="Z16" s="186"/>
    </x:row>
    <x:row r="17">
      <x:c r="A17" s="187"/>
      <x:c r="B17" s="187"/>
      <x:c r="C17" s="187"/>
      <x:c r="D17" s="187"/>
      <x:c r="E17" s="187"/>
      <x:c r="F17" s="187"/>
      <x:c r="G17" s="187"/>
      <x:c r="H17" s="187"/>
      <x:c r="I17" s="187"/>
      <x:c r="J17" s="187"/>
      <x:c r="K17" s="187"/>
      <x:c r="L17" s="187"/>
      <x:c r="M17" s="186"/>
      <x:c r="N17" s="186"/>
      <x:c r="O17" s="186"/>
      <x:c r="P17" s="186"/>
      <x:c r="Q17" s="186"/>
      <x:c r="R17" s="186"/>
      <x:c r="S17" s="186"/>
      <x:c r="T17" s="186"/>
      <x:c r="U17" s="186"/>
      <x:c r="V17" s="186"/>
      <x:c r="W17" s="186"/>
      <x:c r="X17" s="186"/>
      <x:c r="Y17" s="186"/>
      <x:c r="Z17" s="186"/>
    </x:row>
    <x:row r="18">
      <x:c r="A18" s="187"/>
      <x:c r="B18" s="187"/>
      <x:c r="C18" s="187"/>
      <x:c r="D18" s="187"/>
      <x:c r="E18" s="187"/>
      <x:c r="F18" s="187"/>
      <x:c r="G18" s="187"/>
      <x:c r="H18" s="187"/>
      <x:c r="I18" s="187"/>
      <x:c r="J18" s="187"/>
      <x:c r="K18" s="187"/>
      <x:c r="L18" s="187"/>
      <x:c r="M18" s="186"/>
      <x:c r="N18" s="186"/>
      <x:c r="O18" s="186"/>
      <x:c r="P18" s="186"/>
      <x:c r="Q18" s="186"/>
      <x:c r="R18" s="186"/>
      <x:c r="S18" s="186"/>
      <x:c r="T18" s="186"/>
      <x:c r="U18" s="186"/>
      <x:c r="V18" s="186"/>
      <x:c r="W18" s="186"/>
      <x:c r="X18" s="186"/>
      <x:c r="Y18" s="186"/>
      <x:c r="Z18" s="186"/>
    </x:row>
    <x:row r="19">
      <x:c r="A19" s="187"/>
      <x:c r="B19" s="187"/>
      <x:c r="C19" s="187"/>
      <x:c r="D19" s="187"/>
      <x:c r="E19" s="187"/>
      <x:c r="F19" s="187"/>
      <x:c r="G19" s="187"/>
      <x:c r="H19" s="187"/>
      <x:c r="I19" s="187"/>
      <x:c r="J19" s="187"/>
      <x:c r="K19" s="187"/>
      <x:c r="L19" s="187"/>
      <x:c r="M19" s="186"/>
      <x:c r="N19" s="186"/>
      <x:c r="O19" s="186"/>
      <x:c r="P19" s="186"/>
      <x:c r="Q19" s="186"/>
      <x:c r="R19" s="186"/>
      <x:c r="S19" s="186"/>
      <x:c r="T19" s="186"/>
      <x:c r="U19" s="186"/>
      <x:c r="V19" s="186"/>
      <x:c r="W19" s="186"/>
      <x:c r="X19" s="186"/>
      <x:c r="Y19" s="186"/>
      <x:c r="Z19" s="186"/>
    </x:row>
    <x:row r="20">
      <x:c r="A20" s="187"/>
      <x:c r="B20" s="187"/>
      <x:c r="C20" s="187"/>
      <x:c r="D20" s="187"/>
      <x:c r="E20" s="187"/>
      <x:c r="F20" s="187"/>
      <x:c r="G20" s="187"/>
      <x:c r="H20" s="187"/>
      <x:c r="I20" s="187"/>
      <x:c r="J20" s="187"/>
      <x:c r="K20" s="187"/>
      <x:c r="L20" s="187"/>
      <x:c r="M20" s="186"/>
      <x:c r="N20" s="186"/>
      <x:c r="O20" s="186"/>
      <x:c r="P20" s="186"/>
      <x:c r="Q20" s="186"/>
      <x:c r="R20" s="186"/>
      <x:c r="S20" s="186"/>
      <x:c r="T20" s="186"/>
      <x:c r="U20" s="186"/>
      <x:c r="V20" s="186"/>
      <x:c r="W20" s="186"/>
      <x:c r="X20" s="186"/>
      <x:c r="Y20" s="186"/>
      <x:c r="Z20" s="186"/>
    </x:row>
    <x:row r="21">
      <x:c r="A21" s="187"/>
      <x:c r="B21" s="187"/>
      <x:c r="C21" s="187"/>
      <x:c r="D21" s="187"/>
      <x:c r="E21" s="187"/>
      <x:c r="F21" s="187"/>
      <x:c r="G21" s="187"/>
      <x:c r="H21" s="187"/>
      <x:c r="I21" s="187"/>
      <x:c r="J21" s="187"/>
      <x:c r="K21" s="187"/>
      <x:c r="L21" s="187"/>
      <x:c r="M21" s="186"/>
      <x:c r="N21" s="186"/>
      <x:c r="O21" s="186"/>
      <x:c r="P21" s="186"/>
      <x:c r="Q21" s="186"/>
      <x:c r="R21" s="186"/>
      <x:c r="S21" s="186"/>
      <x:c r="T21" s="186"/>
      <x:c r="U21" s="186"/>
      <x:c r="V21" s="186"/>
      <x:c r="W21" s="186"/>
      <x:c r="X21" s="186"/>
      <x:c r="Y21" s="186"/>
      <x:c r="Z21" s="186"/>
    </x:row>
    <x:row r="22">
      <x:c r="A22" s="187"/>
      <x:c r="B22" s="187"/>
      <x:c r="C22" s="187"/>
      <x:c r="D22" s="187"/>
      <x:c r="E22" s="187"/>
      <x:c r="F22" s="187"/>
      <x:c r="G22" s="187"/>
      <x:c r="H22" s="187"/>
      <x:c r="I22" s="187"/>
      <x:c r="J22" s="187"/>
      <x:c r="K22" s="187"/>
      <x:c r="L22" s="187"/>
      <x:c r="M22" s="186"/>
      <x:c r="N22" s="186"/>
      <x:c r="O22" s="186"/>
      <x:c r="P22" s="186"/>
      <x:c r="Q22" s="186"/>
      <x:c r="R22" s="186"/>
      <x:c r="S22" s="186"/>
      <x:c r="T22" s="186"/>
      <x:c r="U22" s="186"/>
      <x:c r="V22" s="186"/>
      <x:c r="W22" s="186"/>
      <x:c r="X22" s="186"/>
      <x:c r="Y22" s="186"/>
      <x:c r="Z22" s="186"/>
    </x:row>
    <x:row r="23">
      <x:c r="A23" s="187"/>
      <x:c r="B23" s="187"/>
      <x:c r="C23" s="187"/>
      <x:c r="D23" s="187"/>
      <x:c r="E23" s="187"/>
      <x:c r="F23" s="187"/>
      <x:c r="G23" s="187"/>
      <x:c r="H23" s="187"/>
      <x:c r="I23" s="187"/>
      <x:c r="J23" s="187"/>
      <x:c r="K23" s="187"/>
      <x:c r="L23" s="187"/>
      <x:c r="M23" s="186"/>
      <x:c r="N23" s="186"/>
      <x:c r="O23" s="186"/>
      <x:c r="P23" s="186"/>
      <x:c r="Q23" s="186"/>
      <x:c r="R23" s="186"/>
      <x:c r="S23" s="186"/>
      <x:c r="T23" s="186"/>
      <x:c r="U23" s="186"/>
      <x:c r="V23" s="186"/>
      <x:c r="W23" s="186"/>
      <x:c r="X23" s="186"/>
      <x:c r="Y23" s="186"/>
      <x:c r="Z23" s="186"/>
    </x:row>
    <x:row r="24">
      <x:c r="A24" s="187"/>
      <x:c r="B24" s="187"/>
      <x:c r="C24" s="187"/>
      <x:c r="D24" s="187"/>
      <x:c r="E24" s="187"/>
      <x:c r="F24" s="187"/>
      <x:c r="G24" s="187"/>
      <x:c r="H24" s="187"/>
      <x:c r="I24" s="187"/>
      <x:c r="J24" s="187"/>
      <x:c r="K24" s="187"/>
      <x:c r="L24" s="187"/>
      <x:c r="M24" s="186"/>
      <x:c r="N24" s="186"/>
      <x:c r="O24" s="186"/>
      <x:c r="P24" s="186"/>
      <x:c r="Q24" s="186"/>
      <x:c r="R24" s="186"/>
      <x:c r="S24" s="186"/>
      <x:c r="T24" s="186"/>
      <x:c r="U24" s="186"/>
      <x:c r="V24" s="186"/>
      <x:c r="W24" s="186"/>
      <x:c r="X24" s="186"/>
      <x:c r="Y24" s="186"/>
      <x:c r="Z24" s="186"/>
    </x:row>
    <x:row r="25">
      <x:c r="A25" s="187"/>
      <x:c r="B25" s="187"/>
      <x:c r="C25" s="187"/>
      <x:c r="D25" s="187"/>
      <x:c r="E25" s="187"/>
      <x:c r="F25" s="187"/>
      <x:c r="G25" s="187"/>
      <x:c r="H25" s="187"/>
      <x:c r="I25" s="187"/>
      <x:c r="J25" s="187"/>
      <x:c r="K25" s="187"/>
      <x:c r="L25" s="187"/>
      <x:c r="M25" s="186"/>
      <x:c r="N25" s="186"/>
      <x:c r="O25" s="186"/>
      <x:c r="P25" s="186"/>
      <x:c r="Q25" s="186"/>
      <x:c r="R25" s="186"/>
      <x:c r="S25" s="186"/>
      <x:c r="T25" s="186"/>
      <x:c r="U25" s="186"/>
      <x:c r="V25" s="186"/>
      <x:c r="W25" s="186"/>
      <x:c r="X25" s="186"/>
      <x:c r="Y25" s="186"/>
      <x:c r="Z25" s="186"/>
    </x:row>
    <x:row r="26">
      <x:c r="A26" s="187"/>
      <x:c r="B26" s="187"/>
      <x:c r="C26" s="187"/>
      <x:c r="D26" s="187"/>
      <x:c r="E26" s="187"/>
      <x:c r="F26" s="187"/>
      <x:c r="G26" s="187"/>
      <x:c r="H26" s="187"/>
      <x:c r="I26" s="187"/>
      <x:c r="J26" s="187"/>
      <x:c r="K26" s="187"/>
      <x:c r="L26" s="187"/>
      <x:c r="M26" s="186"/>
      <x:c r="N26" s="186"/>
      <x:c r="O26" s="186"/>
      <x:c r="P26" s="186"/>
      <x:c r="Q26" s="186"/>
      <x:c r="R26" s="186"/>
      <x:c r="S26" s="186"/>
      <x:c r="T26" s="186"/>
      <x:c r="U26" s="186"/>
      <x:c r="V26" s="186"/>
      <x:c r="W26" s="186"/>
      <x:c r="X26" s="186"/>
      <x:c r="Y26" s="186"/>
      <x:c r="Z26" s="186"/>
    </x:row>
    <x:row r="27">
      <x:c r="A27" s="187"/>
      <x:c r="B27" s="187"/>
      <x:c r="C27" s="187"/>
      <x:c r="D27" s="187"/>
      <x:c r="E27" s="187"/>
      <x:c r="F27" s="187"/>
      <x:c r="G27" s="187"/>
      <x:c r="H27" s="187"/>
      <x:c r="I27" s="187"/>
      <x:c r="J27" s="187"/>
      <x:c r="K27" s="187"/>
      <x:c r="L27" s="187"/>
      <x:c r="M27" s="186"/>
      <x:c r="N27" s="186"/>
      <x:c r="O27" s="186"/>
      <x:c r="P27" s="186"/>
      <x:c r="Q27" s="186"/>
      <x:c r="R27" s="186"/>
      <x:c r="S27" s="186"/>
      <x:c r="T27" s="186"/>
      <x:c r="U27" s="186"/>
      <x:c r="V27" s="186"/>
      <x:c r="W27" s="186"/>
      <x:c r="X27" s="186"/>
      <x:c r="Y27" s="186"/>
      <x:c r="Z27" s="186"/>
    </x:row>
    <x:row r="28">
      <x:c r="A28" s="187"/>
      <x:c r="B28" s="187"/>
      <x:c r="C28" s="187"/>
      <x:c r="D28" s="187"/>
      <x:c r="E28" s="187"/>
      <x:c r="F28" s="187"/>
      <x:c r="G28" s="187"/>
      <x:c r="H28" s="187"/>
      <x:c r="I28" s="187"/>
      <x:c r="J28" s="187"/>
      <x:c r="K28" s="187"/>
      <x:c r="L28" s="187"/>
      <x:c r="M28" s="186"/>
      <x:c r="N28" s="186"/>
      <x:c r="O28" s="186"/>
      <x:c r="P28" s="186"/>
      <x:c r="Q28" s="186"/>
      <x:c r="R28" s="186"/>
      <x:c r="S28" s="186"/>
      <x:c r="T28" s="186"/>
      <x:c r="U28" s="186"/>
      <x:c r="V28" s="186"/>
      <x:c r="W28" s="186"/>
      <x:c r="X28" s="186"/>
      <x:c r="Y28" s="186"/>
      <x:c r="Z28" s="186"/>
    </x:row>
    <x:row r="29">
      <x:c r="A29" s="187"/>
      <x:c r="B29" s="187"/>
      <x:c r="C29" s="187"/>
      <x:c r="D29" s="187"/>
      <x:c r="E29" s="187"/>
      <x:c r="F29" s="187"/>
      <x:c r="G29" s="187"/>
      <x:c r="H29" s="187"/>
      <x:c r="I29" s="187"/>
      <x:c r="J29" s="187"/>
      <x:c r="K29" s="187"/>
      <x:c r="L29" s="187"/>
      <x:c r="M29" s="186"/>
      <x:c r="N29" s="186"/>
      <x:c r="O29" s="186"/>
      <x:c r="P29" s="186"/>
      <x:c r="Q29" s="186"/>
      <x:c r="R29" s="186"/>
      <x:c r="S29" s="186"/>
      <x:c r="T29" s="186"/>
      <x:c r="U29" s="186"/>
      <x:c r="V29" s="186"/>
      <x:c r="W29" s="186"/>
      <x:c r="X29" s="186"/>
      <x:c r="Y29" s="186"/>
      <x:c r="Z29" s="186"/>
    </x:row>
    <x:row r="30">
      <x:c r="A30" s="187"/>
      <x:c r="B30" s="187"/>
      <x:c r="C30" s="187"/>
      <x:c r="D30" s="187"/>
      <x:c r="E30" s="187"/>
      <x:c r="F30" s="187"/>
      <x:c r="G30" s="187"/>
      <x:c r="H30" s="187"/>
      <x:c r="I30" s="187"/>
      <x:c r="J30" s="187"/>
      <x:c r="K30" s="187"/>
      <x:c r="L30" s="187"/>
      <x:c r="M30" s="186"/>
      <x:c r="N30" s="186"/>
      <x:c r="O30" s="186"/>
      <x:c r="P30" s="186"/>
      <x:c r="Q30" s="186"/>
      <x:c r="R30" s="186"/>
      <x:c r="S30" s="186"/>
      <x:c r="T30" s="186"/>
      <x:c r="U30" s="186"/>
      <x:c r="V30" s="186"/>
      <x:c r="W30" s="186"/>
      <x:c r="X30" s="186"/>
      <x:c r="Y30" s="186"/>
      <x:c r="Z30" s="186"/>
    </x:row>
    <x:row r="31">
      <x:c r="A31" s="187"/>
      <x:c r="B31" s="187"/>
      <x:c r="C31" s="187"/>
      <x:c r="D31" s="187"/>
      <x:c r="E31" s="187"/>
      <x:c r="F31" s="187"/>
      <x:c r="G31" s="187"/>
      <x:c r="H31" s="187"/>
      <x:c r="I31" s="187"/>
      <x:c r="J31" s="187"/>
      <x:c r="K31" s="187"/>
      <x:c r="L31" s="187"/>
      <x:c r="M31" s="186"/>
      <x:c r="N31" s="186"/>
      <x:c r="O31" s="186"/>
      <x:c r="P31" s="186"/>
      <x:c r="Q31" s="186"/>
      <x:c r="R31" s="186"/>
      <x:c r="S31" s="186"/>
      <x:c r="T31" s="186"/>
      <x:c r="U31" s="186"/>
      <x:c r="V31" s="186"/>
      <x:c r="W31" s="186"/>
      <x:c r="X31" s="186"/>
      <x:c r="Y31" s="186"/>
      <x:c r="Z31" s="186"/>
    </x:row>
    <x:row r="32">
      <x:c r="A32" s="186"/>
      <x:c r="B32" s="186"/>
      <x:c r="C32" s="186"/>
      <x:c r="D32" s="186"/>
      <x:c r="E32" s="186"/>
      <x:c r="F32" s="186"/>
      <x:c r="G32" s="186"/>
      <x:c r="H32" s="186"/>
      <x:c r="I32" s="186"/>
      <x:c r="J32" s="186"/>
      <x:c r="K32" s="186"/>
      <x:c r="L32" s="186"/>
      <x:c r="M32" s="186"/>
      <x:c r="N32" s="186"/>
      <x:c r="O32" s="186"/>
      <x:c r="P32" s="186"/>
      <x:c r="Q32" s="186"/>
      <x:c r="R32" s="186"/>
      <x:c r="S32" s="186"/>
      <x:c r="T32" s="186"/>
      <x:c r="U32" s="186"/>
      <x:c r="V32" s="186"/>
      <x:c r="W32" s="186"/>
      <x:c r="X32" s="186"/>
      <x:c r="Y32" s="186"/>
      <x:c r="Z32" s="186"/>
    </x:row>
    <x:row r="33">
      <x:c r="A33" s="186"/>
      <x:c r="B33" s="186"/>
      <x:c r="C33" s="186"/>
      <x:c r="D33" s="186"/>
      <x:c r="E33" s="186"/>
      <x:c r="F33" s="186"/>
      <x:c r="G33" s="186"/>
      <x:c r="H33" s="186"/>
      <x:c r="I33" s="186"/>
      <x:c r="J33" s="186"/>
      <x:c r="K33" s="186"/>
      <x:c r="L33" s="186"/>
      <x:c r="M33" s="186"/>
      <x:c r="N33" s="186"/>
      <x:c r="O33" s="186"/>
      <x:c r="P33" s="186"/>
      <x:c r="Q33" s="186"/>
      <x:c r="R33" s="186"/>
      <x:c r="S33" s="186"/>
      <x:c r="T33" s="186"/>
      <x:c r="U33" s="186"/>
      <x:c r="V33" s="186"/>
      <x:c r="W33" s="186"/>
      <x:c r="X33" s="186"/>
      <x:c r="Y33" s="186"/>
      <x:c r="Z33" s="186"/>
    </x:row>
    <x:row r="34">
      <x:c r="A34" s="11" t="str">
        <x:v>Company</x:v>
      </x:c>
      <x:c r="B34" s="11" t="str">
        <x:v>Priority Score</x:v>
      </x:c>
      <x:c r="C34" s="186"/>
      <x:c r="D34" s="11" t="str">
        <x:v>Year</x:v>
      </x:c>
      <x:c r="E34" s="11" t="str">
        <x:v>Revenue ($MM)</x:v>
      </x:c>
      <x:c r="F34" s="186"/>
      <x:c r="G34" s="186"/>
      <x:c r="H34" s="186"/>
      <x:c r="I34" s="186"/>
      <x:c r="J34" s="186"/>
      <x:c r="K34" s="186"/>
      <x:c r="L34" s="186"/>
      <x:c r="M34" s="186"/>
      <x:c r="N34" s="186"/>
      <x:c r="O34" s="186"/>
      <x:c r="P34" s="186"/>
      <x:c r="Q34" s="186"/>
      <x:c r="R34" s="186"/>
      <x:c r="S34" s="186"/>
      <x:c r="T34" s="186"/>
      <x:c r="U34" s="186"/>
      <x:c r="V34" s="186"/>
      <x:c r="W34" s="186"/>
      <x:c r="X34" s="186"/>
      <x:c r="Y34" s="186"/>
      <x:c r="Z34" s="186"/>
    </x:row>
    <x:row r="35">
      <x:c r="A35" s="186" t="str">
        <x:v>AtlasEdge Systems</x:v>
      </x:c>
      <x:c r="B35" s="258" t="n">
        <x:v>83</x:v>
      </x:c>
      <x:c r="C35" s="186"/>
      <x:c r="D35" s="186" t="str">
        <x:v>2023A</x:v>
      </x:c>
      <x:c r="E35" s="260" t="n">
        <x:v>180</x:v>
      </x:c>
      <x:c r="F35" s="186"/>
      <x:c r="G35" s="186"/>
      <x:c r="H35" s="186"/>
      <x:c r="I35" s="186"/>
      <x:c r="J35" s="186"/>
      <x:c r="K35" s="186"/>
      <x:c r="L35" s="186"/>
      <x:c r="M35" s="186"/>
      <x:c r="N35" s="186"/>
      <x:c r="O35" s="186"/>
      <x:c r="P35" s="186"/>
      <x:c r="Q35" s="186"/>
      <x:c r="R35" s="186"/>
      <x:c r="S35" s="186"/>
      <x:c r="T35" s="186"/>
      <x:c r="U35" s="186"/>
      <x:c r="V35" s="186"/>
      <x:c r="W35" s="186"/>
      <x:c r="X35" s="186"/>
      <x:c r="Y35" s="186"/>
      <x:c r="Z35" s="186"/>
    </x:row>
    <x:row r="36">
      <x:c r="A36" s="186" t="str">
        <x:v>QuantumRoute Networks</x:v>
      </x:c>
      <x:c r="B36" s="258" t="n">
        <x:v>78.2</x:v>
      </x:c>
      <x:c r="C36" s="186"/>
      <x:c r="D36" s="186" t="str">
        <x:v>2024A</x:v>
      </x:c>
      <x:c r="E36" s="260" t="n">
        <x:v>218</x:v>
      </x:c>
      <x:c r="F36" s="186"/>
      <x:c r="G36" s="186"/>
      <x:c r="H36" s="186"/>
      <x:c r="I36" s="186"/>
      <x:c r="J36" s="186"/>
      <x:c r="K36" s="186"/>
      <x:c r="L36" s="186"/>
      <x:c r="M36" s="186"/>
      <x:c r="N36" s="186"/>
      <x:c r="O36" s="186"/>
      <x:c r="P36" s="186"/>
      <x:c r="Q36" s="186"/>
      <x:c r="R36" s="186"/>
      <x:c r="S36" s="186"/>
      <x:c r="T36" s="186"/>
      <x:c r="U36" s="186"/>
      <x:c r="V36" s="186"/>
      <x:c r="W36" s="186"/>
      <x:c r="X36" s="186"/>
      <x:c r="Y36" s="186"/>
      <x:c r="Z36" s="186"/>
    </x:row>
    <x:row r="37">
      <x:c r="A37" s="186" t="str">
        <x:v>CipherNorth Security</x:v>
      </x:c>
      <x:c r="B37" s="258" t="n">
        <x:v>74.7</x:v>
      </x:c>
      <x:c r="C37" s="186"/>
      <x:c r="D37" s="186" t="str">
        <x:v>2025A</x:v>
      </x:c>
      <x:c r="E37" s="260" t="n">
        <x:v>255</x:v>
      </x:c>
      <x:c r="F37" s="186"/>
      <x:c r="G37" s="186"/>
      <x:c r="H37" s="186"/>
      <x:c r="I37" s="186"/>
      <x:c r="J37" s="186"/>
      <x:c r="K37" s="186"/>
      <x:c r="L37" s="186"/>
      <x:c r="M37" s="186"/>
      <x:c r="N37" s="186"/>
      <x:c r="O37" s="186"/>
      <x:c r="P37" s="186"/>
      <x:c r="Q37" s="186"/>
      <x:c r="R37" s="186"/>
      <x:c r="S37" s="186"/>
      <x:c r="T37" s="186"/>
      <x:c r="U37" s="186"/>
      <x:c r="V37" s="186"/>
      <x:c r="W37" s="186"/>
      <x:c r="X37" s="186"/>
      <x:c r="Y37" s="186"/>
      <x:c r="Z37" s="186"/>
    </x:row>
    <x:row r="38">
      <x:c r="A38" s="186" t="str">
        <x:v>HelioStack Cloud</x:v>
      </x:c>
      <x:c r="B38" s="258" t="n">
        <x:v>72</x:v>
      </x:c>
      <x:c r="C38" s="186"/>
      <x:c r="D38" s="186" t="str">
        <x:v>2026E</x:v>
      </x:c>
      <x:c r="E38" s="260" t="n">
        <x:v>300</x:v>
      </x:c>
      <x:c r="F38" s="186"/>
      <x:c r="G38" s="186"/>
      <x:c r="H38" s="186"/>
      <x:c r="I38" s="186"/>
      <x:c r="J38" s="186"/>
      <x:c r="K38" s="186"/>
      <x:c r="L38" s="186"/>
      <x:c r="M38" s="186"/>
      <x:c r="N38" s="186"/>
      <x:c r="O38" s="186"/>
      <x:c r="P38" s="186"/>
      <x:c r="Q38" s="186"/>
      <x:c r="R38" s="186"/>
      <x:c r="S38" s="186"/>
      <x:c r="T38" s="186"/>
      <x:c r="U38" s="186"/>
      <x:c r="V38" s="186"/>
      <x:c r="W38" s="186"/>
      <x:c r="X38" s="186"/>
      <x:c r="Y38" s="186"/>
      <x:c r="Z38" s="186"/>
    </x:row>
    <x:row r="39">
      <x:c r="A39" s="186" t="str">
        <x:v>CoreTransit Software</x:v>
      </x:c>
      <x:c r="B39" s="258" t="n">
        <x:v>65.9</x:v>
      </x:c>
      <x:c r="C39" s="186"/>
      <x:c r="D39" s="186" t="str">
        <x:v>2027E</x:v>
      </x:c>
      <x:c r="E39" s="260" t="n">
        <x:v>348</x:v>
      </x:c>
      <x:c r="F39" s="186"/>
      <x:c r="G39" s="186"/>
      <x:c r="H39" s="186"/>
      <x:c r="I39" s="186"/>
      <x:c r="J39" s="186"/>
      <x:c r="K39" s="186"/>
      <x:c r="L39" s="186"/>
      <x:c r="M39" s="186"/>
      <x:c r="N39" s="186"/>
      <x:c r="O39" s="186"/>
      <x:c r="P39" s="186"/>
      <x:c r="Q39" s="186"/>
      <x:c r="R39" s="186"/>
      <x:c r="S39" s="186"/>
      <x:c r="T39" s="186"/>
      <x:c r="U39" s="186"/>
      <x:c r="V39" s="186"/>
      <x:c r="W39" s="186"/>
      <x:c r="X39" s="186"/>
      <x:c r="Y39" s="186"/>
      <x:c r="Z39" s="186"/>
    </x:row>
    <x:row r="40">
      <x:c r="A40" s="186"/>
      <x:c r="B40" s="186"/>
      <x:c r="C40" s="186"/>
      <x:c r="D40" s="186" t="str">
        <x:v>2028E</x:v>
      </x:c>
      <x:c r="E40" s="260" t="n">
        <x:v>397</x:v>
      </x:c>
      <x:c r="F40" s="186"/>
      <x:c r="G40" s="186"/>
      <x:c r="H40" s="186"/>
      <x:c r="I40" s="186"/>
      <x:c r="J40" s="186"/>
      <x:c r="K40" s="186"/>
      <x:c r="L40" s="186"/>
      <x:c r="M40" s="186"/>
      <x:c r="N40" s="186"/>
      <x:c r="O40" s="186"/>
      <x:c r="P40" s="186"/>
      <x:c r="Q40" s="186"/>
      <x:c r="R40" s="186"/>
      <x:c r="S40" s="186"/>
      <x:c r="T40" s="186"/>
      <x:c r="U40" s="186"/>
      <x:c r="V40" s="186"/>
      <x:c r="W40" s="186"/>
      <x:c r="X40" s="186"/>
      <x:c r="Y40" s="186"/>
      <x:c r="Z40" s="186"/>
    </x:row>
    <x:row r="41">
      <x:c r="A41" s="186"/>
      <x:c r="B41" s="186"/>
      <x:c r="C41" s="186"/>
      <x:c r="D41" s="186"/>
      <x:c r="E41" s="186"/>
      <x:c r="F41" s="186"/>
      <x:c r="G41" s="186"/>
      <x:c r="H41" s="186"/>
      <x:c r="I41" s="186"/>
      <x:c r="J41" s="186"/>
      <x:c r="K41" s="186"/>
      <x:c r="L41" s="186"/>
      <x:c r="M41" s="186"/>
      <x:c r="N41" s="186"/>
      <x:c r="O41" s="186"/>
      <x:c r="P41" s="186"/>
      <x:c r="Q41" s="186"/>
      <x:c r="R41" s="186"/>
      <x:c r="S41" s="186"/>
      <x:c r="T41" s="186"/>
      <x:c r="U41" s="186"/>
      <x:c r="V41" s="186"/>
      <x:c r="W41" s="186"/>
      <x:c r="X41" s="186"/>
      <x:c r="Y41" s="186"/>
      <x:c r="Z41" s="186"/>
    </x:row>
    <x:row r="42">
      <x:c r="A42" s="186"/>
      <x:c r="B42" s="186"/>
      <x:c r="C42" s="186"/>
      <x:c r="D42" s="186"/>
      <x:c r="E42" s="186"/>
      <x:c r="F42" s="186"/>
      <x:c r="G42" s="186"/>
      <x:c r="H42" s="186"/>
      <x:c r="I42" s="186"/>
      <x:c r="J42" s="186"/>
      <x:c r="K42" s="186"/>
      <x:c r="L42" s="186"/>
      <x:c r="M42" s="186"/>
      <x:c r="N42" s="186"/>
      <x:c r="O42" s="186"/>
      <x:c r="P42" s="186"/>
      <x:c r="Q42" s="186"/>
      <x:c r="R42" s="186"/>
      <x:c r="S42" s="186"/>
      <x:c r="T42" s="186"/>
      <x:c r="U42" s="186"/>
      <x:c r="V42" s="186"/>
      <x:c r="W42" s="186"/>
      <x:c r="X42" s="186"/>
      <x:c r="Y42" s="186"/>
      <x:c r="Z42" s="186"/>
    </x:row>
    <x:row r="43">
      <x:c r="A43" s="186"/>
      <x:c r="B43" s="186"/>
      <x:c r="C43" s="186"/>
      <x:c r="D43" s="186"/>
      <x:c r="E43" s="186"/>
      <x:c r="F43" s="186"/>
      <x:c r="G43" s="186"/>
      <x:c r="H43" s="186"/>
      <x:c r="I43" s="186"/>
      <x:c r="J43" s="186"/>
      <x:c r="K43" s="186"/>
      <x:c r="L43" s="186"/>
      <x:c r="M43" s="186"/>
      <x:c r="N43" s="186"/>
      <x:c r="O43" s="186"/>
      <x:c r="P43" s="186"/>
      <x:c r="Q43" s="186"/>
      <x:c r="R43" s="186"/>
      <x:c r="S43" s="186"/>
      <x:c r="T43" s="186"/>
      <x:c r="U43" s="186"/>
      <x:c r="V43" s="186"/>
      <x:c r="W43" s="186"/>
      <x:c r="X43" s="186"/>
      <x:c r="Y43" s="186"/>
      <x:c r="Z43" s="186"/>
    </x:row>
    <x:row r="44">
      <x:c r="A44" s="186"/>
      <x:c r="B44" s="186"/>
      <x:c r="C44" s="186"/>
      <x:c r="D44" s="186"/>
      <x:c r="E44" s="186"/>
      <x:c r="F44" s="186"/>
      <x:c r="G44" s="186"/>
      <x:c r="H44" s="186"/>
      <x:c r="I44" s="186"/>
      <x:c r="J44" s="186"/>
      <x:c r="K44" s="186"/>
      <x:c r="L44" s="186"/>
      <x:c r="M44" s="186"/>
      <x:c r="N44" s="186"/>
      <x:c r="O44" s="186"/>
      <x:c r="P44" s="186"/>
      <x:c r="Q44" s="186"/>
      <x:c r="R44" s="186"/>
      <x:c r="S44" s="186"/>
      <x:c r="T44" s="186"/>
      <x:c r="U44" s="186"/>
      <x:c r="V44" s="186"/>
      <x:c r="W44" s="186"/>
      <x:c r="X44" s="186"/>
      <x:c r="Y44" s="186"/>
      <x:c r="Z44" s="186"/>
    </x:row>
    <x:row r="45">
      <x:c r="A45" s="186"/>
      <x:c r="B45" s="186"/>
      <x:c r="C45" s="186"/>
      <x:c r="D45" s="186"/>
      <x:c r="E45" s="186"/>
      <x:c r="F45" s="186"/>
      <x:c r="G45" s="186"/>
      <x:c r="H45" s="186"/>
      <x:c r="I45" s="186"/>
      <x:c r="J45" s="186"/>
      <x:c r="K45" s="186"/>
      <x:c r="L45" s="186"/>
      <x:c r="M45" s="186"/>
      <x:c r="N45" s="186"/>
      <x:c r="O45" s="186"/>
      <x:c r="P45" s="186"/>
      <x:c r="Q45" s="186"/>
      <x:c r="R45" s="186"/>
      <x:c r="S45" s="186"/>
      <x:c r="T45" s="186"/>
      <x:c r="U45" s="186"/>
      <x:c r="V45" s="186"/>
      <x:c r="W45" s="186"/>
      <x:c r="X45" s="186"/>
      <x:c r="Y45" s="186"/>
      <x:c r="Z45" s="186"/>
    </x:row>
    <x:row r="46">
      <x:c r="A46" s="186"/>
      <x:c r="B46" s="186"/>
      <x:c r="C46" s="186"/>
      <x:c r="D46" s="186"/>
      <x:c r="E46" s="186"/>
      <x:c r="F46" s="186"/>
      <x:c r="G46" s="186"/>
      <x:c r="H46" s="186"/>
      <x:c r="I46" s="186"/>
      <x:c r="J46" s="186"/>
      <x:c r="K46" s="186"/>
      <x:c r="L46" s="186"/>
      <x:c r="M46" s="186"/>
      <x:c r="N46" s="186"/>
      <x:c r="O46" s="186"/>
      <x:c r="P46" s="186"/>
      <x:c r="Q46" s="186"/>
      <x:c r="R46" s="186"/>
      <x:c r="S46" s="186"/>
      <x:c r="T46" s="186"/>
      <x:c r="U46" s="186"/>
      <x:c r="V46" s="186"/>
      <x:c r="W46" s="186"/>
      <x:c r="X46" s="186"/>
      <x:c r="Y46" s="186"/>
      <x:c r="Z46" s="186"/>
    </x:row>
    <x:row r="47">
      <x:c r="A47" s="186"/>
      <x:c r="B47" s="186"/>
      <x:c r="C47" s="186"/>
      <x:c r="D47" s="186"/>
      <x:c r="E47" s="186"/>
      <x:c r="F47" s="186"/>
      <x:c r="G47" s="186"/>
      <x:c r="H47" s="186"/>
      <x:c r="I47" s="186"/>
      <x:c r="J47" s="186"/>
      <x:c r="K47" s="186"/>
      <x:c r="L47" s="186"/>
      <x:c r="M47" s="186"/>
      <x:c r="N47" s="186"/>
      <x:c r="O47" s="186"/>
      <x:c r="P47" s="186"/>
      <x:c r="Q47" s="186"/>
      <x:c r="R47" s="186"/>
      <x:c r="S47" s="186"/>
      <x:c r="T47" s="186"/>
      <x:c r="U47" s="186"/>
      <x:c r="V47" s="186"/>
      <x:c r="W47" s="186"/>
      <x:c r="X47" s="186"/>
      <x:c r="Y47" s="186"/>
      <x:c r="Z47" s="186"/>
    </x:row>
    <x:row r="48">
      <x:c r="A48" s="186"/>
      <x:c r="B48" s="186"/>
      <x:c r="C48" s="186"/>
      <x:c r="D48" s="186"/>
      <x:c r="E48" s="186"/>
      <x:c r="F48" s="186"/>
      <x:c r="G48" s="186"/>
      <x:c r="H48" s="186"/>
      <x:c r="I48" s="186"/>
      <x:c r="J48" s="186"/>
      <x:c r="K48" s="186"/>
      <x:c r="L48" s="186"/>
      <x:c r="M48" s="186"/>
      <x:c r="N48" s="186"/>
      <x:c r="O48" s="186"/>
      <x:c r="P48" s="186"/>
      <x:c r="Q48" s="186"/>
      <x:c r="R48" s="186"/>
      <x:c r="S48" s="186"/>
      <x:c r="T48" s="186"/>
      <x:c r="U48" s="186"/>
      <x:c r="V48" s="186"/>
      <x:c r="W48" s="186"/>
      <x:c r="X48" s="186"/>
      <x:c r="Y48" s="186"/>
      <x:c r="Z48" s="186"/>
    </x:row>
    <x:row r="49">
      <x:c r="A49" s="186"/>
      <x:c r="B49" s="186"/>
      <x:c r="C49" s="186"/>
      <x:c r="D49" s="186"/>
      <x:c r="E49" s="186"/>
      <x:c r="F49" s="186"/>
      <x:c r="G49" s="186"/>
      <x:c r="H49" s="186"/>
      <x:c r="I49" s="186"/>
      <x:c r="J49" s="186"/>
      <x:c r="K49" s="186"/>
      <x:c r="L49" s="186"/>
      <x:c r="M49" s="186"/>
      <x:c r="N49" s="186"/>
      <x:c r="O49" s="186"/>
      <x:c r="P49" s="186"/>
      <x:c r="Q49" s="186"/>
      <x:c r="R49" s="186"/>
      <x:c r="S49" s="186"/>
      <x:c r="T49" s="186"/>
      <x:c r="U49" s="186"/>
      <x:c r="V49" s="186"/>
      <x:c r="W49" s="186"/>
      <x:c r="X49" s="186"/>
      <x:c r="Y49" s="186"/>
      <x:c r="Z49" s="186"/>
    </x:row>
    <x:row r="50">
      <x:c r="A50" s="186"/>
      <x:c r="B50" s="186"/>
      <x:c r="C50" s="186"/>
      <x:c r="D50" s="186"/>
      <x:c r="E50" s="186"/>
      <x:c r="F50" s="186"/>
      <x:c r="G50" s="186"/>
      <x:c r="H50" s="186"/>
      <x:c r="I50" s="186"/>
      <x:c r="J50" s="186"/>
      <x:c r="K50" s="186"/>
      <x:c r="L50" s="186"/>
      <x:c r="M50" s="186"/>
      <x:c r="N50" s="186"/>
      <x:c r="O50" s="186"/>
      <x:c r="P50" s="186"/>
      <x:c r="Q50" s="186"/>
      <x:c r="R50" s="186"/>
      <x:c r="S50" s="186"/>
      <x:c r="T50" s="186"/>
      <x:c r="U50" s="186"/>
      <x:c r="V50" s="186"/>
      <x:c r="W50" s="186"/>
      <x:c r="X50" s="186"/>
      <x:c r="Y50" s="186"/>
      <x:c r="Z50" s="186"/>
    </x:row>
  </x:sheetData>
  <x:mergeCells>
    <x:mergeCell ref="A1:L1"/>
    <x:mergeCell ref="A3:B3"/>
    <x:mergeCell ref="A4:B5"/>
    <x:mergeCell ref="C3:D3"/>
    <x:mergeCell ref="C4:D5"/>
    <x:mergeCell ref="E3:F3"/>
    <x:mergeCell ref="E4:F5"/>
    <x:mergeCell ref="G3:H3"/>
    <x:mergeCell ref="G4:H5"/>
    <x:mergeCell ref="I3:J3"/>
    <x:mergeCell ref="I4:J5"/>
    <x:mergeCell ref="K3:L3"/>
    <x:mergeCell ref="K4:L5"/>
    <x:mergeCell ref="H8:L8"/>
    <x:mergeCell ref="H9:L14"/>
  </x:mergeCells>
  <x:conditionalFormatting sqref="D9:F13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  <x:drawing xmlns:r="http://schemas.openxmlformats.org/officeDocument/2006/relationships" r:id="Ra68ff7f74642436a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0" hidden="0" customWidth="1"/>
    <x:col min="3" max="3" width="36" hidden="0" customWidth="1"/>
    <x:col min="4" max="4" width="40" hidden="0" customWidth="1"/>
  </x:cols>
  <x:sheetData>
    <x:row r="1">
      <x:c r="A1" s="24" t="str">
        <x:v>Public Sources &amp; Project Disclosures</x:v>
      </x:c>
      <x:c r="B1" s="24"/>
      <x:c r="C1" s="24"/>
      <x:c r="D1" s="24"/>
      <x:c r="E1" s="186"/>
      <x:c r="F1" s="186"/>
      <x:c r="G1" s="186"/>
      <x:c r="H1" s="186"/>
      <x:c r="I1" s="186"/>
      <x:c r="J1" s="186"/>
      <x:c r="K1" s="186"/>
      <x:c r="L1" s="186"/>
      <x:c r="M1" s="186"/>
      <x:c r="N1" s="186"/>
      <x:c r="O1" s="186"/>
      <x:c r="P1" s="186"/>
      <x:c r="Q1" s="186"/>
      <x:c r="R1" s="186"/>
      <x:c r="S1" s="186"/>
      <x:c r="T1" s="186"/>
      <x:c r="U1" s="186"/>
      <x:c r="V1" s="186"/>
      <x:c r="W1" s="186"/>
      <x:c r="X1" s="186"/>
      <x:c r="Y1" s="186"/>
      <x:c r="Z1" s="186"/>
    </x:row>
    <x:row r="2">
      <x:c r="A2" s="187"/>
      <x:c r="B2" s="187"/>
      <x:c r="C2" s="187"/>
      <x:c r="D2" s="187"/>
      <x:c r="E2" s="186"/>
      <x:c r="F2" s="186"/>
      <x:c r="G2" s="186"/>
      <x:c r="H2" s="186"/>
      <x:c r="I2" s="186"/>
      <x:c r="J2" s="186"/>
      <x:c r="K2" s="186"/>
      <x:c r="L2" s="186"/>
      <x:c r="M2" s="186"/>
      <x:c r="N2" s="186"/>
      <x:c r="O2" s="186"/>
      <x:c r="P2" s="186"/>
      <x:c r="Q2" s="186"/>
      <x:c r="R2" s="186"/>
      <x:c r="S2" s="186"/>
      <x:c r="T2" s="186"/>
      <x:c r="U2" s="186"/>
      <x:c r="V2" s="186"/>
      <x:c r="W2" s="186"/>
      <x:c r="X2" s="186"/>
      <x:c r="Y2" s="186"/>
      <x:c r="Z2" s="186"/>
    </x:row>
    <x:row r="3">
      <x:c r="A3" s="26" t="str">
        <x:v>Source</x:v>
      </x:c>
      <x:c r="B3" s="26" t="str">
        <x:v>URL</x:v>
      </x:c>
      <x:c r="C3" s="26" t="str">
        <x:v>Used For</x:v>
      </x:c>
      <x:c r="D3" s="26" t="str">
        <x:v>Notes</x:v>
      </x:c>
      <x:c r="E3" s="186"/>
      <x:c r="F3" s="186"/>
      <x:c r="G3" s="186"/>
      <x:c r="H3" s="186"/>
      <x:c r="I3" s="186"/>
      <x:c r="J3" s="186"/>
      <x:c r="K3" s="186"/>
      <x:c r="L3" s="186"/>
      <x:c r="M3" s="186"/>
      <x:c r="N3" s="186"/>
      <x:c r="O3" s="186"/>
      <x:c r="P3" s="186"/>
      <x:c r="Q3" s="186"/>
      <x:c r="R3" s="186"/>
      <x:c r="S3" s="186"/>
      <x:c r="T3" s="186"/>
      <x:c r="U3" s="186"/>
      <x:c r="V3" s="186"/>
      <x:c r="W3" s="186"/>
      <x:c r="X3" s="186"/>
      <x:c r="Y3" s="186"/>
      <x:c r="Z3" s="186"/>
    </x:row>
    <x:row r="4">
      <x:c r="A4" s="187" t="str">
        <x:v>Bank of America — Global Commercial Banking</x:v>
      </x:c>
      <x:c r="B4" s="187" t="str">
        <x:v>https://careers.bankofamerica.com/en-us/company/organization/global-commercial-banking</x:v>
      </x:c>
      <x:c r="C4" s="187" t="str">
        <x:v>Client segment and integrated coverage model</x:v>
      </x:c>
      <x:c r="D4" s="187" t="str">
        <x:v>Public context only</x:v>
      </x:c>
      <x:c r="E4" s="186"/>
      <x:c r="F4" s="186"/>
      <x:c r="G4" s="186"/>
      <x:c r="H4" s="186"/>
      <x:c r="I4" s="186"/>
      <x:c r="J4" s="186"/>
      <x:c r="K4" s="186"/>
      <x:c r="L4" s="186"/>
      <x:c r="M4" s="186"/>
      <x:c r="N4" s="186"/>
      <x:c r="O4" s="186"/>
      <x:c r="P4" s="186"/>
      <x:c r="Q4" s="186"/>
      <x:c r="R4" s="186"/>
      <x:c r="S4" s="186"/>
      <x:c r="T4" s="186"/>
      <x:c r="U4" s="186"/>
      <x:c r="V4" s="186"/>
      <x:c r="W4" s="186"/>
      <x:c r="X4" s="186"/>
      <x:c r="Y4" s="186"/>
      <x:c r="Z4" s="186"/>
    </x:row>
    <x:row r="5">
      <x:c r="A5" s="187" t="str">
        <x:v>Bank of America — GCB Overview</x:v>
      </x:c>
      <x:c r="B5" s="187" t="str">
        <x:v>https://newsroom.bankofamerica.com/content/newsroom/company-overview/lob-pages/global-commercial-banking-.html</x:v>
      </x:c>
      <x:c r="C5" s="187" t="str">
        <x:v>Treasury, lending, leasing, advisory capabilities</x:v>
      </x:c>
      <x:c r="D5" s="187" t="str">
        <x:v>Public context only</x:v>
      </x:c>
      <x:c r="E5" s="186"/>
      <x:c r="F5" s="186"/>
      <x:c r="G5" s="186"/>
      <x:c r="H5" s="186"/>
      <x:c r="I5" s="186"/>
      <x:c r="J5" s="186"/>
      <x:c r="K5" s="186"/>
      <x:c r="L5" s="186"/>
      <x:c r="M5" s="186"/>
      <x:c r="N5" s="186"/>
      <x:c r="O5" s="186"/>
      <x:c r="P5" s="186"/>
      <x:c r="Q5" s="186"/>
      <x:c r="R5" s="186"/>
      <x:c r="S5" s="186"/>
      <x:c r="T5" s="186"/>
      <x:c r="U5" s="186"/>
      <x:c r="V5" s="186"/>
      <x:c r="W5" s="186"/>
      <x:c r="X5" s="186"/>
      <x:c r="Y5" s="186"/>
      <x:c r="Z5" s="186"/>
    </x:row>
    <x:row r="6">
      <x:c r="A6" s="187" t="str">
        <x:v>Bank of America — Transformative Technology SRM</x:v>
      </x:c>
      <x:c r="B6" s="187" t="str">
        <x:v>https://careers.bankofamerica.com/en-us/job-detail/26024276/sr-relationship-manager-global-commercial-bank-transformative-technology-boston-boston-massachusetts-united-states</x:v>
      </x:c>
      <x:c r="C6" s="187" t="str">
        <x:v>Technology coverage / product-partner context</x:v>
      </x:c>
      <x:c r="D6" s="187" t="str">
        <x:v>Public context only</x:v>
      </x:c>
      <x:c r="E6" s="186"/>
      <x:c r="F6" s="186"/>
      <x:c r="G6" s="186"/>
      <x:c r="H6" s="186"/>
      <x:c r="I6" s="186"/>
      <x:c r="J6" s="186"/>
      <x:c r="K6" s="186"/>
      <x:c r="L6" s="186"/>
      <x:c r="M6" s="186"/>
      <x:c r="N6" s="186"/>
      <x:c r="O6" s="186"/>
      <x:c r="P6" s="186"/>
      <x:c r="Q6" s="186"/>
      <x:c r="R6" s="186"/>
      <x:c r="S6" s="186"/>
      <x:c r="T6" s="186"/>
      <x:c r="U6" s="186"/>
      <x:c r="V6" s="186"/>
      <x:c r="W6" s="186"/>
      <x:c r="X6" s="186"/>
      <x:c r="Y6" s="186"/>
      <x:c r="Z6" s="186"/>
    </x:row>
    <x:row r="7">
      <x:c r="A7" s="187" t="str">
        <x:v>Federal Reserve — July 29, 2026 FOMC</x:v>
      </x:c>
      <x:c r="B7" s="187" t="str">
        <x:v>https://www.federalreserve.gov/newsevents/pressreleases/monetary20260729a.htm</x:v>
      </x:c>
      <x:c r="C7" s="187" t="str">
        <x:v>Policy-rate context</x:v>
      </x:c>
      <x:c r="D7" s="187" t="str">
        <x:v>Fed funds range 3.50%–3.75%</x:v>
      </x:c>
      <x:c r="E7" s="186"/>
      <x:c r="F7" s="186"/>
      <x:c r="G7" s="186"/>
      <x:c r="H7" s="186"/>
      <x:c r="I7" s="186"/>
      <x:c r="J7" s="186"/>
      <x:c r="K7" s="186"/>
      <x:c r="L7" s="186"/>
      <x:c r="M7" s="186"/>
      <x:c r="N7" s="186"/>
      <x:c r="O7" s="186"/>
      <x:c r="P7" s="186"/>
      <x:c r="Q7" s="186"/>
      <x:c r="R7" s="186"/>
      <x:c r="S7" s="186"/>
      <x:c r="T7" s="186"/>
      <x:c r="U7" s="186"/>
      <x:c r="V7" s="186"/>
      <x:c r="W7" s="186"/>
      <x:c r="X7" s="186"/>
      <x:c r="Y7" s="186"/>
      <x:c r="Z7" s="186"/>
    </x:row>
    <x:row r="8">
      <x:c r="A8" s="187" t="str">
        <x:v>New York Fed — Reference Rates</x:v>
      </x:c>
      <x:c r="B8" s="187" t="str">
        <x:v>https://www.newyorkfed.org/markets/reference-rates</x:v>
      </x:c>
      <x:c r="C8" s="187" t="str">
        <x:v>SOFR background</x:v>
      </x:c>
      <x:c r="D8" s="187" t="str">
        <x:v>Reference-rate context</x:v>
      </x:c>
      <x:c r="E8" s="186"/>
      <x:c r="F8" s="186"/>
      <x:c r="G8" s="186"/>
      <x:c r="H8" s="186"/>
      <x:c r="I8" s="186"/>
      <x:c r="J8" s="186"/>
      <x:c r="K8" s="186"/>
      <x:c r="L8" s="186"/>
      <x:c r="M8" s="186"/>
      <x:c r="N8" s="186"/>
      <x:c r="O8" s="186"/>
      <x:c r="P8" s="186"/>
      <x:c r="Q8" s="186"/>
      <x:c r="R8" s="186"/>
      <x:c r="S8" s="186"/>
      <x:c r="T8" s="186"/>
      <x:c r="U8" s="186"/>
      <x:c r="V8" s="186"/>
      <x:c r="W8" s="186"/>
      <x:c r="X8" s="186"/>
      <x:c r="Y8" s="186"/>
      <x:c r="Z8" s="186"/>
    </x:row>
    <x:row r="9">
      <x:c r="A9" s="187" t="str">
        <x:v>Project Data</x:v>
      </x:c>
      <x:c r="B9" s="187" t="str">
        <x:v>Synthetic</x:v>
      </x:c>
      <x:c r="C9" s="187" t="str">
        <x:v>All company, financial, credit, treasury, and relationship data</x:v>
      </x:c>
      <x:c r="D9" s="187" t="str">
        <x:v>Not actual client or Bank of America data</x:v>
      </x:c>
      <x:c r="E9" s="186"/>
      <x:c r="F9" s="186"/>
      <x:c r="G9" s="186"/>
      <x:c r="H9" s="186"/>
      <x:c r="I9" s="186"/>
      <x:c r="J9" s="186"/>
      <x:c r="K9" s="186"/>
      <x:c r="L9" s="186"/>
      <x:c r="M9" s="186"/>
      <x:c r="N9" s="186"/>
      <x:c r="O9" s="186"/>
      <x:c r="P9" s="186"/>
      <x:c r="Q9" s="186"/>
      <x:c r="R9" s="186"/>
      <x:c r="S9" s="186"/>
      <x:c r="T9" s="186"/>
      <x:c r="U9" s="186"/>
      <x:c r="V9" s="186"/>
      <x:c r="W9" s="186"/>
      <x:c r="X9" s="186"/>
      <x:c r="Y9" s="186"/>
      <x:c r="Z9" s="186"/>
    </x:row>
    <x:row r="10">
      <x:c r="A10" s="187"/>
      <x:c r="B10" s="187"/>
      <x:c r="C10" s="187"/>
      <x:c r="D10" s="187"/>
      <x:c r="E10" s="186"/>
      <x:c r="F10" s="186"/>
      <x:c r="G10" s="186"/>
      <x:c r="H10" s="186"/>
      <x:c r="I10" s="186"/>
      <x:c r="J10" s="186"/>
      <x:c r="K10" s="186"/>
      <x:c r="L10" s="186"/>
      <x:c r="M10" s="186"/>
      <x:c r="N10" s="186"/>
      <x:c r="O10" s="186"/>
      <x:c r="P10" s="186"/>
      <x:c r="Q10" s="186"/>
      <x:c r="R10" s="186"/>
      <x:c r="S10" s="186"/>
      <x:c r="T10" s="186"/>
      <x:c r="U10" s="186"/>
      <x:c r="V10" s="186"/>
      <x:c r="W10" s="186"/>
      <x:c r="X10" s="186"/>
      <x:c r="Y10" s="186"/>
      <x:c r="Z10" s="186"/>
    </x:row>
    <x:row r="11">
      <x:c r="A11" s="186"/>
      <x:c r="B11" s="186"/>
      <x:c r="C11" s="186"/>
      <x:c r="D11" s="186"/>
      <x:c r="E11" s="186"/>
      <x:c r="F11" s="186"/>
      <x:c r="G11" s="186"/>
      <x:c r="H11" s="186"/>
      <x:c r="I11" s="186"/>
      <x:c r="J11" s="186"/>
      <x:c r="K11" s="186"/>
      <x:c r="L11" s="186"/>
      <x:c r="M11" s="186"/>
      <x:c r="N11" s="186"/>
      <x:c r="O11" s="186"/>
      <x:c r="P11" s="186"/>
      <x:c r="Q11" s="186"/>
      <x:c r="R11" s="186"/>
      <x:c r="S11" s="186"/>
      <x:c r="T11" s="186"/>
      <x:c r="U11" s="186"/>
      <x:c r="V11" s="186"/>
      <x:c r="W11" s="186"/>
      <x:c r="X11" s="186"/>
      <x:c r="Y11" s="186"/>
      <x:c r="Z11" s="186"/>
    </x:row>
    <x:row r="12">
      <x:c r="A12" s="186"/>
      <x:c r="B12" s="186"/>
      <x:c r="C12" s="186"/>
      <x:c r="D12" s="186"/>
      <x:c r="E12" s="186"/>
      <x:c r="F12" s="186"/>
      <x:c r="G12" s="186"/>
      <x:c r="H12" s="186"/>
      <x:c r="I12" s="186"/>
      <x:c r="J12" s="186"/>
      <x:c r="K12" s="186"/>
      <x:c r="L12" s="186"/>
      <x:c r="M12" s="186"/>
      <x:c r="N12" s="186"/>
      <x:c r="O12" s="186"/>
      <x:c r="P12" s="186"/>
      <x:c r="Q12" s="186"/>
      <x:c r="R12" s="186"/>
      <x:c r="S12" s="186"/>
      <x:c r="T12" s="186"/>
      <x:c r="U12" s="186"/>
      <x:c r="V12" s="186"/>
      <x:c r="W12" s="186"/>
      <x:c r="X12" s="186"/>
      <x:c r="Y12" s="186"/>
      <x:c r="Z12" s="186"/>
    </x:row>
    <x:row r="13">
      <x:c r="A13" s="186"/>
      <x:c r="B13" s="186"/>
      <x:c r="C13" s="186"/>
      <x:c r="D13" s="186"/>
      <x:c r="E13" s="186"/>
      <x:c r="F13" s="186"/>
      <x:c r="G13" s="186"/>
      <x:c r="H13" s="186"/>
      <x:c r="I13" s="186"/>
      <x:c r="J13" s="186"/>
      <x:c r="K13" s="186"/>
      <x:c r="L13" s="186"/>
      <x:c r="M13" s="186"/>
      <x:c r="N13" s="186"/>
      <x:c r="O13" s="186"/>
      <x:c r="P13" s="186"/>
      <x:c r="Q13" s="186"/>
      <x:c r="R13" s="186"/>
      <x:c r="S13" s="186"/>
      <x:c r="T13" s="186"/>
      <x:c r="U13" s="186"/>
      <x:c r="V13" s="186"/>
      <x:c r="W13" s="186"/>
      <x:c r="X13" s="186"/>
      <x:c r="Y13" s="186"/>
      <x:c r="Z13" s="186"/>
    </x:row>
    <x:row r="14">
      <x:c r="A14" s="186"/>
      <x:c r="B14" s="186"/>
      <x:c r="C14" s="186"/>
      <x:c r="D14" s="186"/>
      <x:c r="E14" s="186"/>
      <x:c r="F14" s="186"/>
      <x:c r="G14" s="186"/>
      <x:c r="H14" s="186"/>
      <x:c r="I14" s="186"/>
      <x:c r="J14" s="186"/>
      <x:c r="K14" s="186"/>
      <x:c r="L14" s="186"/>
      <x:c r="M14" s="186"/>
      <x:c r="N14" s="186"/>
      <x:c r="O14" s="186"/>
      <x:c r="P14" s="186"/>
      <x:c r="Q14" s="186"/>
      <x:c r="R14" s="186"/>
      <x:c r="S14" s="186"/>
      <x:c r="T14" s="186"/>
      <x:c r="U14" s="186"/>
      <x:c r="V14" s="186"/>
      <x:c r="W14" s="186"/>
      <x:c r="X14" s="186"/>
      <x:c r="Y14" s="186"/>
      <x:c r="Z14" s="186"/>
    </x:row>
    <x:row r="15">
      <x:c r="A15" s="186"/>
      <x:c r="B15" s="186"/>
      <x:c r="C15" s="186"/>
      <x:c r="D15" s="186"/>
      <x:c r="E15" s="186"/>
      <x:c r="F15" s="186"/>
      <x:c r="G15" s="186"/>
      <x:c r="H15" s="186"/>
      <x:c r="I15" s="186"/>
      <x:c r="J15" s="186"/>
      <x:c r="K15" s="186"/>
      <x:c r="L15" s="186"/>
      <x:c r="M15" s="186"/>
      <x:c r="N15" s="186"/>
      <x:c r="O15" s="186"/>
      <x:c r="P15" s="186"/>
      <x:c r="Q15" s="186"/>
      <x:c r="R15" s="186"/>
      <x:c r="S15" s="186"/>
      <x:c r="T15" s="186"/>
      <x:c r="U15" s="186"/>
      <x:c r="V15" s="186"/>
      <x:c r="W15" s="186"/>
      <x:c r="X15" s="186"/>
      <x:c r="Y15" s="186"/>
      <x:c r="Z15" s="186"/>
    </x:row>
    <x:row r="16">
      <x:c r="A16" s="186"/>
      <x:c r="B16" s="186"/>
      <x:c r="C16" s="186"/>
      <x:c r="D16" s="186"/>
      <x:c r="E16" s="186"/>
      <x:c r="F16" s="186"/>
      <x:c r="G16" s="186"/>
      <x:c r="H16" s="186"/>
      <x:c r="I16" s="186"/>
      <x:c r="J16" s="186"/>
      <x:c r="K16" s="186"/>
      <x:c r="L16" s="186"/>
      <x:c r="M16" s="186"/>
      <x:c r="N16" s="186"/>
      <x:c r="O16" s="186"/>
      <x:c r="P16" s="186"/>
      <x:c r="Q16" s="186"/>
      <x:c r="R16" s="186"/>
      <x:c r="S16" s="186"/>
      <x:c r="T16" s="186"/>
      <x:c r="U16" s="186"/>
      <x:c r="V16" s="186"/>
      <x:c r="W16" s="186"/>
      <x:c r="X16" s="186"/>
      <x:c r="Y16" s="186"/>
      <x:c r="Z16" s="186"/>
    </x:row>
    <x:row r="17">
      <x:c r="A17" s="186"/>
      <x:c r="B17" s="186"/>
      <x:c r="C17" s="186"/>
      <x:c r="D17" s="186"/>
      <x:c r="E17" s="186"/>
      <x:c r="F17" s="186"/>
      <x:c r="G17" s="186"/>
      <x:c r="H17" s="186"/>
      <x:c r="I17" s="186"/>
      <x:c r="J17" s="186"/>
      <x:c r="K17" s="186"/>
      <x:c r="L17" s="186"/>
      <x:c r="M17" s="186"/>
      <x:c r="N17" s="186"/>
      <x:c r="O17" s="186"/>
      <x:c r="P17" s="186"/>
      <x:c r="Q17" s="186"/>
      <x:c r="R17" s="186"/>
      <x:c r="S17" s="186"/>
      <x:c r="T17" s="186"/>
      <x:c r="U17" s="186"/>
      <x:c r="V17" s="186"/>
      <x:c r="W17" s="186"/>
      <x:c r="X17" s="186"/>
      <x:c r="Y17" s="186"/>
      <x:c r="Z17" s="186"/>
    </x:row>
    <x:row r="18">
      <x:c r="A18" s="186"/>
      <x:c r="B18" s="186"/>
      <x:c r="C18" s="186"/>
      <x:c r="D18" s="186"/>
      <x:c r="E18" s="186"/>
      <x:c r="F18" s="186"/>
      <x:c r="G18" s="186"/>
      <x:c r="H18" s="186"/>
      <x:c r="I18" s="186"/>
      <x:c r="J18" s="186"/>
      <x:c r="K18" s="186"/>
      <x:c r="L18" s="186"/>
      <x:c r="M18" s="186"/>
      <x:c r="N18" s="186"/>
      <x:c r="O18" s="186"/>
      <x:c r="P18" s="186"/>
      <x:c r="Q18" s="186"/>
      <x:c r="R18" s="186"/>
      <x:c r="S18" s="186"/>
      <x:c r="T18" s="186"/>
      <x:c r="U18" s="186"/>
      <x:c r="V18" s="186"/>
      <x:c r="W18" s="186"/>
      <x:c r="X18" s="186"/>
      <x:c r="Y18" s="186"/>
      <x:c r="Z18" s="186"/>
    </x:row>
    <x:row r="19">
      <x:c r="A19" s="186"/>
      <x:c r="B19" s="186"/>
      <x:c r="C19" s="186"/>
      <x:c r="D19" s="186"/>
      <x:c r="E19" s="186"/>
      <x:c r="F19" s="186"/>
      <x:c r="G19" s="186"/>
      <x:c r="H19" s="186"/>
      <x:c r="I19" s="186"/>
      <x:c r="J19" s="186"/>
      <x:c r="K19" s="186"/>
      <x:c r="L19" s="186"/>
      <x:c r="M19" s="186"/>
      <x:c r="N19" s="186"/>
      <x:c r="O19" s="186"/>
      <x:c r="P19" s="186"/>
      <x:c r="Q19" s="186"/>
      <x:c r="R19" s="186"/>
      <x:c r="S19" s="186"/>
      <x:c r="T19" s="186"/>
      <x:c r="U19" s="186"/>
      <x:c r="V19" s="186"/>
      <x:c r="W19" s="186"/>
      <x:c r="X19" s="186"/>
      <x:c r="Y19" s="186"/>
      <x:c r="Z19" s="186"/>
    </x:row>
    <x:row r="20">
      <x:c r="A20" s="186"/>
      <x:c r="B20" s="186"/>
      <x:c r="C20" s="186"/>
      <x:c r="D20" s="186"/>
      <x:c r="E20" s="186"/>
      <x:c r="F20" s="186"/>
      <x:c r="G20" s="186"/>
      <x:c r="H20" s="186"/>
      <x:c r="I20" s="186"/>
      <x:c r="J20" s="186"/>
      <x:c r="K20" s="186"/>
      <x:c r="L20" s="186"/>
      <x:c r="M20" s="186"/>
      <x:c r="N20" s="186"/>
      <x:c r="O20" s="186"/>
      <x:c r="P20" s="186"/>
      <x:c r="Q20" s="186"/>
      <x:c r="R20" s="186"/>
      <x:c r="S20" s="186"/>
      <x:c r="T20" s="186"/>
      <x:c r="U20" s="186"/>
      <x:c r="V20" s="186"/>
      <x:c r="W20" s="186"/>
      <x:c r="X20" s="186"/>
      <x:c r="Y20" s="186"/>
      <x:c r="Z20" s="186"/>
    </x:row>
    <x:row r="21">
      <x:c r="A21" s="186"/>
      <x:c r="B21" s="186"/>
      <x:c r="C21" s="186"/>
      <x:c r="D21" s="186"/>
      <x:c r="E21" s="186"/>
      <x:c r="F21" s="186"/>
      <x:c r="G21" s="186"/>
      <x:c r="H21" s="186"/>
      <x:c r="I21" s="186"/>
      <x:c r="J21" s="186"/>
      <x:c r="K21" s="186"/>
      <x:c r="L21" s="186"/>
      <x:c r="M21" s="186"/>
      <x:c r="N21" s="186"/>
      <x:c r="O21" s="186"/>
      <x:c r="P21" s="186"/>
      <x:c r="Q21" s="186"/>
      <x:c r="R21" s="186"/>
      <x:c r="S21" s="186"/>
      <x:c r="T21" s="186"/>
      <x:c r="U21" s="186"/>
      <x:c r="V21" s="186"/>
      <x:c r="W21" s="186"/>
      <x:c r="X21" s="186"/>
      <x:c r="Y21" s="186"/>
      <x:c r="Z21" s="186"/>
    </x:row>
    <x:row r="22">
      <x:c r="A22" s="186"/>
      <x:c r="B22" s="186"/>
      <x:c r="C22" s="186"/>
      <x:c r="D22" s="186"/>
      <x:c r="E22" s="186"/>
      <x:c r="F22" s="186"/>
      <x:c r="G22" s="186"/>
      <x:c r="H22" s="186"/>
      <x:c r="I22" s="186"/>
      <x:c r="J22" s="186"/>
      <x:c r="K22" s="186"/>
      <x:c r="L22" s="186"/>
      <x:c r="M22" s="186"/>
      <x:c r="N22" s="186"/>
      <x:c r="O22" s="186"/>
      <x:c r="P22" s="186"/>
      <x:c r="Q22" s="186"/>
      <x:c r="R22" s="186"/>
      <x:c r="S22" s="186"/>
      <x:c r="T22" s="186"/>
      <x:c r="U22" s="186"/>
      <x:c r="V22" s="186"/>
      <x:c r="W22" s="186"/>
      <x:c r="X22" s="186"/>
      <x:c r="Y22" s="186"/>
      <x:c r="Z22" s="186"/>
    </x:row>
    <x:row r="23">
      <x:c r="A23" s="186"/>
      <x:c r="B23" s="186"/>
      <x:c r="C23" s="186"/>
      <x:c r="D23" s="186"/>
      <x:c r="E23" s="186"/>
      <x:c r="F23" s="186"/>
      <x:c r="G23" s="186"/>
      <x:c r="H23" s="186"/>
      <x:c r="I23" s="186"/>
      <x:c r="J23" s="186"/>
      <x:c r="K23" s="186"/>
      <x:c r="L23" s="186"/>
      <x:c r="M23" s="186"/>
      <x:c r="N23" s="186"/>
      <x:c r="O23" s="186"/>
      <x:c r="P23" s="186"/>
      <x:c r="Q23" s="186"/>
      <x:c r="R23" s="186"/>
      <x:c r="S23" s="186"/>
      <x:c r="T23" s="186"/>
      <x:c r="U23" s="186"/>
      <x:c r="V23" s="186"/>
      <x:c r="W23" s="186"/>
      <x:c r="X23" s="186"/>
      <x:c r="Y23" s="186"/>
      <x:c r="Z23" s="186"/>
    </x:row>
    <x:row r="24">
      <x:c r="A24" s="186"/>
      <x:c r="B24" s="186"/>
      <x:c r="C24" s="186"/>
      <x:c r="D24" s="186"/>
      <x:c r="E24" s="186"/>
      <x:c r="F24" s="186"/>
      <x:c r="G24" s="186"/>
      <x:c r="H24" s="186"/>
      <x:c r="I24" s="186"/>
      <x:c r="J24" s="186"/>
      <x:c r="K24" s="186"/>
      <x:c r="L24" s="186"/>
      <x:c r="M24" s="186"/>
      <x:c r="N24" s="186"/>
      <x:c r="O24" s="186"/>
      <x:c r="P24" s="186"/>
      <x:c r="Q24" s="186"/>
      <x:c r="R24" s="186"/>
      <x:c r="S24" s="186"/>
      <x:c r="T24" s="186"/>
      <x:c r="U24" s="186"/>
      <x:c r="V24" s="186"/>
      <x:c r="W24" s="186"/>
      <x:c r="X24" s="186"/>
      <x:c r="Y24" s="186"/>
      <x:c r="Z24" s="186"/>
    </x:row>
    <x:row r="25">
      <x:c r="A25" s="186"/>
      <x:c r="B25" s="186"/>
      <x:c r="C25" s="186"/>
      <x:c r="D25" s="186"/>
      <x:c r="E25" s="186"/>
      <x:c r="F25" s="186"/>
      <x:c r="G25" s="186"/>
      <x:c r="H25" s="186"/>
      <x:c r="I25" s="186"/>
      <x:c r="J25" s="186"/>
      <x:c r="K25" s="186"/>
      <x:c r="L25" s="186"/>
      <x:c r="M25" s="186"/>
      <x:c r="N25" s="186"/>
      <x:c r="O25" s="186"/>
      <x:c r="P25" s="186"/>
      <x:c r="Q25" s="186"/>
      <x:c r="R25" s="186"/>
      <x:c r="S25" s="186"/>
      <x:c r="T25" s="186"/>
      <x:c r="U25" s="186"/>
      <x:c r="V25" s="186"/>
      <x:c r="W25" s="186"/>
      <x:c r="X25" s="186"/>
      <x:c r="Y25" s="186"/>
      <x:c r="Z25" s="186"/>
    </x:row>
    <x:row r="26">
      <x:c r="A26" s="186"/>
      <x:c r="B26" s="186"/>
      <x:c r="C26" s="186"/>
      <x:c r="D26" s="186"/>
      <x:c r="E26" s="186"/>
      <x:c r="F26" s="186"/>
      <x:c r="G26" s="186"/>
      <x:c r="H26" s="186"/>
      <x:c r="I26" s="186"/>
      <x:c r="J26" s="186"/>
      <x:c r="K26" s="186"/>
      <x:c r="L26" s="186"/>
      <x:c r="M26" s="186"/>
      <x:c r="N26" s="186"/>
      <x:c r="O26" s="186"/>
      <x:c r="P26" s="186"/>
      <x:c r="Q26" s="186"/>
      <x:c r="R26" s="186"/>
      <x:c r="S26" s="186"/>
      <x:c r="T26" s="186"/>
      <x:c r="U26" s="186"/>
      <x:c r="V26" s="186"/>
      <x:c r="W26" s="186"/>
      <x:c r="X26" s="186"/>
      <x:c r="Y26" s="186"/>
      <x:c r="Z26" s="186"/>
    </x:row>
    <x:row r="27">
      <x:c r="A27" s="186"/>
      <x:c r="B27" s="186"/>
      <x:c r="C27" s="186"/>
      <x:c r="D27" s="186"/>
      <x:c r="E27" s="186"/>
      <x:c r="F27" s="186"/>
      <x:c r="G27" s="186"/>
      <x:c r="H27" s="186"/>
      <x:c r="I27" s="186"/>
      <x:c r="J27" s="186"/>
      <x:c r="K27" s="186"/>
      <x:c r="L27" s="186"/>
      <x:c r="M27" s="186"/>
      <x:c r="N27" s="186"/>
      <x:c r="O27" s="186"/>
      <x:c r="P27" s="186"/>
      <x:c r="Q27" s="186"/>
      <x:c r="R27" s="186"/>
      <x:c r="S27" s="186"/>
      <x:c r="T27" s="186"/>
      <x:c r="U27" s="186"/>
      <x:c r="V27" s="186"/>
      <x:c r="W27" s="186"/>
      <x:c r="X27" s="186"/>
      <x:c r="Y27" s="186"/>
      <x:c r="Z27" s="186"/>
    </x:row>
    <x:row r="28">
      <x:c r="A28" s="186"/>
      <x:c r="B28" s="186"/>
      <x:c r="C28" s="186"/>
      <x:c r="D28" s="186"/>
      <x:c r="E28" s="186"/>
      <x:c r="F28" s="186"/>
      <x:c r="G28" s="186"/>
      <x:c r="H28" s="186"/>
      <x:c r="I28" s="186"/>
      <x:c r="J28" s="186"/>
      <x:c r="K28" s="186"/>
      <x:c r="L28" s="186"/>
      <x:c r="M28" s="186"/>
      <x:c r="N28" s="186"/>
      <x:c r="O28" s="186"/>
      <x:c r="P28" s="186"/>
      <x:c r="Q28" s="186"/>
      <x:c r="R28" s="186"/>
      <x:c r="S28" s="186"/>
      <x:c r="T28" s="186"/>
      <x:c r="U28" s="186"/>
      <x:c r="V28" s="186"/>
      <x:c r="W28" s="186"/>
      <x:c r="X28" s="186"/>
      <x:c r="Y28" s="186"/>
      <x:c r="Z28" s="186"/>
    </x:row>
    <x:row r="29">
      <x:c r="A29" s="186"/>
      <x:c r="B29" s="186"/>
      <x:c r="C29" s="186"/>
      <x:c r="D29" s="186"/>
      <x:c r="E29" s="186"/>
      <x:c r="F29" s="186"/>
      <x:c r="G29" s="186"/>
      <x:c r="H29" s="186"/>
      <x:c r="I29" s="186"/>
      <x:c r="J29" s="186"/>
      <x:c r="K29" s="186"/>
      <x:c r="L29" s="186"/>
      <x:c r="M29" s="186"/>
      <x:c r="N29" s="186"/>
      <x:c r="O29" s="186"/>
      <x:c r="P29" s="186"/>
      <x:c r="Q29" s="186"/>
      <x:c r="R29" s="186"/>
      <x:c r="S29" s="186"/>
      <x:c r="T29" s="186"/>
      <x:c r="U29" s="186"/>
      <x:c r="V29" s="186"/>
      <x:c r="W29" s="186"/>
      <x:c r="X29" s="186"/>
      <x:c r="Y29" s="186"/>
      <x:c r="Z29" s="186"/>
    </x:row>
    <x:row r="30">
      <x:c r="A30" s="186"/>
      <x:c r="B30" s="186"/>
      <x:c r="C30" s="186"/>
      <x:c r="D30" s="186"/>
      <x:c r="E30" s="186"/>
      <x:c r="F30" s="186"/>
      <x:c r="G30" s="186"/>
      <x:c r="H30" s="186"/>
      <x:c r="I30" s="186"/>
      <x:c r="J30" s="186"/>
      <x:c r="K30" s="186"/>
      <x:c r="L30" s="186"/>
      <x:c r="M30" s="186"/>
      <x:c r="N30" s="186"/>
      <x:c r="O30" s="186"/>
      <x:c r="P30" s="186"/>
      <x:c r="Q30" s="186"/>
      <x:c r="R30" s="186"/>
      <x:c r="S30" s="186"/>
      <x:c r="T30" s="186"/>
      <x:c r="U30" s="186"/>
      <x:c r="V30" s="186"/>
      <x:c r="W30" s="186"/>
      <x:c r="X30" s="186"/>
      <x:c r="Y30" s="186"/>
      <x:c r="Z30" s="186"/>
    </x:row>
    <x:row r="31">
      <x:c r="A31" s="186"/>
      <x:c r="B31" s="186"/>
      <x:c r="C31" s="186"/>
      <x:c r="D31" s="186"/>
      <x:c r="E31" s="186"/>
      <x:c r="F31" s="186"/>
      <x:c r="G31" s="186"/>
      <x:c r="H31" s="186"/>
      <x:c r="I31" s="186"/>
      <x:c r="J31" s="186"/>
      <x:c r="K31" s="186"/>
      <x:c r="L31" s="186"/>
      <x:c r="M31" s="186"/>
      <x:c r="N31" s="186"/>
      <x:c r="O31" s="186"/>
      <x:c r="P31" s="186"/>
      <x:c r="Q31" s="186"/>
      <x:c r="R31" s="186"/>
      <x:c r="S31" s="186"/>
      <x:c r="T31" s="186"/>
      <x:c r="U31" s="186"/>
      <x:c r="V31" s="186"/>
      <x:c r="W31" s="186"/>
      <x:c r="X31" s="186"/>
      <x:c r="Y31" s="186"/>
      <x:c r="Z31" s="186"/>
    </x:row>
    <x:row r="32">
      <x:c r="A32" s="186"/>
      <x:c r="B32" s="186"/>
      <x:c r="C32" s="186"/>
      <x:c r="D32" s="186"/>
      <x:c r="E32" s="186"/>
      <x:c r="F32" s="186"/>
      <x:c r="G32" s="186"/>
      <x:c r="H32" s="186"/>
      <x:c r="I32" s="186"/>
      <x:c r="J32" s="186"/>
      <x:c r="K32" s="186"/>
      <x:c r="L32" s="186"/>
      <x:c r="M32" s="186"/>
      <x:c r="N32" s="186"/>
      <x:c r="O32" s="186"/>
      <x:c r="P32" s="186"/>
      <x:c r="Q32" s="186"/>
      <x:c r="R32" s="186"/>
      <x:c r="S32" s="186"/>
      <x:c r="T32" s="186"/>
      <x:c r="U32" s="186"/>
      <x:c r="V32" s="186"/>
      <x:c r="W32" s="186"/>
      <x:c r="X32" s="186"/>
      <x:c r="Y32" s="186"/>
      <x:c r="Z32" s="186"/>
    </x:row>
    <x:row r="33">
      <x:c r="A33" s="186"/>
      <x:c r="B33" s="186"/>
      <x:c r="C33" s="186"/>
      <x:c r="D33" s="186"/>
      <x:c r="E33" s="186"/>
      <x:c r="F33" s="186"/>
      <x:c r="G33" s="186"/>
      <x:c r="H33" s="186"/>
      <x:c r="I33" s="186"/>
      <x:c r="J33" s="186"/>
      <x:c r="K33" s="186"/>
      <x:c r="L33" s="186"/>
      <x:c r="M33" s="186"/>
      <x:c r="N33" s="186"/>
      <x:c r="O33" s="186"/>
      <x:c r="P33" s="186"/>
      <x:c r="Q33" s="186"/>
      <x:c r="R33" s="186"/>
      <x:c r="S33" s="186"/>
      <x:c r="T33" s="186"/>
      <x:c r="U33" s="186"/>
      <x:c r="V33" s="186"/>
      <x:c r="W33" s="186"/>
      <x:c r="X33" s="186"/>
      <x:c r="Y33" s="186"/>
      <x:c r="Z33" s="186"/>
    </x:row>
    <x:row r="34">
      <x:c r="A34" s="186"/>
      <x:c r="B34" s="186"/>
      <x:c r="C34" s="186"/>
      <x:c r="D34" s="186"/>
      <x:c r="E34" s="186"/>
      <x:c r="F34" s="186"/>
      <x:c r="G34" s="186"/>
      <x:c r="H34" s="186"/>
      <x:c r="I34" s="186"/>
      <x:c r="J34" s="186"/>
      <x:c r="K34" s="186"/>
      <x:c r="L34" s="186"/>
      <x:c r="M34" s="186"/>
      <x:c r="N34" s="186"/>
      <x:c r="O34" s="186"/>
      <x:c r="P34" s="186"/>
      <x:c r="Q34" s="186"/>
      <x:c r="R34" s="186"/>
      <x:c r="S34" s="186"/>
      <x:c r="T34" s="186"/>
      <x:c r="U34" s="186"/>
      <x:c r="V34" s="186"/>
      <x:c r="W34" s="186"/>
      <x:c r="X34" s="186"/>
      <x:c r="Y34" s="186"/>
      <x:c r="Z34" s="186"/>
    </x:row>
    <x:row r="35">
      <x:c r="A35" s="186"/>
      <x:c r="B35" s="186"/>
      <x:c r="C35" s="186"/>
      <x:c r="D35" s="186"/>
      <x:c r="E35" s="186"/>
      <x:c r="F35" s="186"/>
      <x:c r="G35" s="186"/>
      <x:c r="H35" s="186"/>
      <x:c r="I35" s="186"/>
      <x:c r="J35" s="186"/>
      <x:c r="K35" s="186"/>
      <x:c r="L35" s="186"/>
      <x:c r="M35" s="186"/>
      <x:c r="N35" s="186"/>
      <x:c r="O35" s="186"/>
      <x:c r="P35" s="186"/>
      <x:c r="Q35" s="186"/>
      <x:c r="R35" s="186"/>
      <x:c r="S35" s="186"/>
      <x:c r="T35" s="186"/>
      <x:c r="U35" s="186"/>
      <x:c r="V35" s="186"/>
      <x:c r="W35" s="186"/>
      <x:c r="X35" s="186"/>
      <x:c r="Y35" s="186"/>
      <x:c r="Z35" s="186"/>
    </x:row>
    <x:row r="36">
      <x:c r="A36" s="186"/>
      <x:c r="B36" s="186"/>
      <x:c r="C36" s="186"/>
      <x:c r="D36" s="186"/>
      <x:c r="E36" s="186"/>
      <x:c r="F36" s="186"/>
      <x:c r="G36" s="186"/>
      <x:c r="H36" s="186"/>
      <x:c r="I36" s="186"/>
      <x:c r="J36" s="186"/>
      <x:c r="K36" s="186"/>
      <x:c r="L36" s="186"/>
      <x:c r="M36" s="186"/>
      <x:c r="N36" s="186"/>
      <x:c r="O36" s="186"/>
      <x:c r="P36" s="186"/>
      <x:c r="Q36" s="186"/>
      <x:c r="R36" s="186"/>
      <x:c r="S36" s="186"/>
      <x:c r="T36" s="186"/>
      <x:c r="U36" s="186"/>
      <x:c r="V36" s="186"/>
      <x:c r="W36" s="186"/>
      <x:c r="X36" s="186"/>
      <x:c r="Y36" s="186"/>
      <x:c r="Z36" s="186"/>
    </x:row>
    <x:row r="37">
      <x:c r="A37" s="186"/>
      <x:c r="B37" s="186"/>
      <x:c r="C37" s="186"/>
      <x:c r="D37" s="186"/>
      <x:c r="E37" s="186"/>
      <x:c r="F37" s="186"/>
      <x:c r="G37" s="186"/>
      <x:c r="H37" s="186"/>
      <x:c r="I37" s="186"/>
      <x:c r="J37" s="186"/>
      <x:c r="K37" s="186"/>
      <x:c r="L37" s="186"/>
      <x:c r="M37" s="186"/>
      <x:c r="N37" s="186"/>
      <x:c r="O37" s="186"/>
      <x:c r="P37" s="186"/>
      <x:c r="Q37" s="186"/>
      <x:c r="R37" s="186"/>
      <x:c r="S37" s="186"/>
      <x:c r="T37" s="186"/>
      <x:c r="U37" s="186"/>
      <x:c r="V37" s="186"/>
      <x:c r="W37" s="186"/>
      <x:c r="X37" s="186"/>
      <x:c r="Y37" s="186"/>
      <x:c r="Z37" s="186"/>
    </x:row>
    <x:row r="38">
      <x:c r="A38" s="186"/>
      <x:c r="B38" s="186"/>
      <x:c r="C38" s="186"/>
      <x:c r="D38" s="186"/>
      <x:c r="E38" s="186"/>
      <x:c r="F38" s="186"/>
      <x:c r="G38" s="186"/>
      <x:c r="H38" s="186"/>
      <x:c r="I38" s="186"/>
      <x:c r="J38" s="186"/>
      <x:c r="K38" s="186"/>
      <x:c r="L38" s="186"/>
      <x:c r="M38" s="186"/>
      <x:c r="N38" s="186"/>
      <x:c r="O38" s="186"/>
      <x:c r="P38" s="186"/>
      <x:c r="Q38" s="186"/>
      <x:c r="R38" s="186"/>
      <x:c r="S38" s="186"/>
      <x:c r="T38" s="186"/>
      <x:c r="U38" s="186"/>
      <x:c r="V38" s="186"/>
      <x:c r="W38" s="186"/>
      <x:c r="X38" s="186"/>
      <x:c r="Y38" s="186"/>
      <x:c r="Z38" s="186"/>
    </x:row>
    <x:row r="39">
      <x:c r="A39" s="186"/>
      <x:c r="B39" s="186"/>
      <x:c r="C39" s="186"/>
      <x:c r="D39" s="186"/>
      <x:c r="E39" s="186"/>
      <x:c r="F39" s="186"/>
      <x:c r="G39" s="186"/>
      <x:c r="H39" s="186"/>
      <x:c r="I39" s="186"/>
      <x:c r="J39" s="186"/>
      <x:c r="K39" s="186"/>
      <x:c r="L39" s="186"/>
      <x:c r="M39" s="186"/>
      <x:c r="N39" s="186"/>
      <x:c r="O39" s="186"/>
      <x:c r="P39" s="186"/>
      <x:c r="Q39" s="186"/>
      <x:c r="R39" s="186"/>
      <x:c r="S39" s="186"/>
      <x:c r="T39" s="186"/>
      <x:c r="U39" s="186"/>
      <x:c r="V39" s="186"/>
      <x:c r="W39" s="186"/>
      <x:c r="X39" s="186"/>
      <x:c r="Y39" s="186"/>
      <x:c r="Z39" s="186"/>
    </x:row>
    <x:row r="40">
      <x:c r="A40" s="186"/>
      <x:c r="B40" s="186"/>
      <x:c r="C40" s="186"/>
      <x:c r="D40" s="186"/>
      <x:c r="E40" s="186"/>
      <x:c r="F40" s="186"/>
      <x:c r="G40" s="186"/>
      <x:c r="H40" s="186"/>
      <x:c r="I40" s="186"/>
      <x:c r="J40" s="186"/>
      <x:c r="K40" s="186"/>
      <x:c r="L40" s="186"/>
      <x:c r="M40" s="186"/>
      <x:c r="N40" s="186"/>
      <x:c r="O40" s="186"/>
      <x:c r="P40" s="186"/>
      <x:c r="Q40" s="186"/>
      <x:c r="R40" s="186"/>
      <x:c r="S40" s="186"/>
      <x:c r="T40" s="186"/>
      <x:c r="U40" s="186"/>
      <x:c r="V40" s="186"/>
      <x:c r="W40" s="186"/>
      <x:c r="X40" s="186"/>
      <x:c r="Y40" s="186"/>
      <x:c r="Z40" s="186"/>
    </x:row>
    <x:row r="41">
      <x:c r="A41" s="186"/>
      <x:c r="B41" s="186"/>
      <x:c r="C41" s="186"/>
      <x:c r="D41" s="186"/>
      <x:c r="E41" s="186"/>
      <x:c r="F41" s="186"/>
      <x:c r="G41" s="186"/>
      <x:c r="H41" s="186"/>
      <x:c r="I41" s="186"/>
      <x:c r="J41" s="186"/>
      <x:c r="K41" s="186"/>
      <x:c r="L41" s="186"/>
      <x:c r="M41" s="186"/>
      <x:c r="N41" s="186"/>
      <x:c r="O41" s="186"/>
      <x:c r="P41" s="186"/>
      <x:c r="Q41" s="186"/>
      <x:c r="R41" s="186"/>
      <x:c r="S41" s="186"/>
      <x:c r="T41" s="186"/>
      <x:c r="U41" s="186"/>
      <x:c r="V41" s="186"/>
      <x:c r="W41" s="186"/>
      <x:c r="X41" s="186"/>
      <x:c r="Y41" s="186"/>
      <x:c r="Z41" s="186"/>
    </x:row>
    <x:row r="42">
      <x:c r="A42" s="186"/>
      <x:c r="B42" s="186"/>
      <x:c r="C42" s="186"/>
      <x:c r="D42" s="186"/>
      <x:c r="E42" s="186"/>
      <x:c r="F42" s="186"/>
      <x:c r="G42" s="186"/>
      <x:c r="H42" s="186"/>
      <x:c r="I42" s="186"/>
      <x:c r="J42" s="186"/>
      <x:c r="K42" s="186"/>
      <x:c r="L42" s="186"/>
      <x:c r="M42" s="186"/>
      <x:c r="N42" s="186"/>
      <x:c r="O42" s="186"/>
      <x:c r="P42" s="186"/>
      <x:c r="Q42" s="186"/>
      <x:c r="R42" s="186"/>
      <x:c r="S42" s="186"/>
      <x:c r="T42" s="186"/>
      <x:c r="U42" s="186"/>
      <x:c r="V42" s="186"/>
      <x:c r="W42" s="186"/>
      <x:c r="X42" s="186"/>
      <x:c r="Y42" s="186"/>
      <x:c r="Z42" s="186"/>
    </x:row>
    <x:row r="43">
      <x:c r="A43" s="186"/>
      <x:c r="B43" s="186"/>
      <x:c r="C43" s="186"/>
      <x:c r="D43" s="186"/>
      <x:c r="E43" s="186"/>
      <x:c r="F43" s="186"/>
      <x:c r="G43" s="186"/>
      <x:c r="H43" s="186"/>
      <x:c r="I43" s="186"/>
      <x:c r="J43" s="186"/>
      <x:c r="K43" s="186"/>
      <x:c r="L43" s="186"/>
      <x:c r="M43" s="186"/>
      <x:c r="N43" s="186"/>
      <x:c r="O43" s="186"/>
      <x:c r="P43" s="186"/>
      <x:c r="Q43" s="186"/>
      <x:c r="R43" s="186"/>
      <x:c r="S43" s="186"/>
      <x:c r="T43" s="186"/>
      <x:c r="U43" s="186"/>
      <x:c r="V43" s="186"/>
      <x:c r="W43" s="186"/>
      <x:c r="X43" s="186"/>
      <x:c r="Y43" s="186"/>
      <x:c r="Z43" s="186"/>
    </x:row>
    <x:row r="44">
      <x:c r="A44" s="186"/>
      <x:c r="B44" s="186"/>
      <x:c r="C44" s="186"/>
      <x:c r="D44" s="186"/>
      <x:c r="E44" s="186"/>
      <x:c r="F44" s="186"/>
      <x:c r="G44" s="186"/>
      <x:c r="H44" s="186"/>
      <x:c r="I44" s="186"/>
      <x:c r="J44" s="186"/>
      <x:c r="K44" s="186"/>
      <x:c r="L44" s="186"/>
      <x:c r="M44" s="186"/>
      <x:c r="N44" s="186"/>
      <x:c r="O44" s="186"/>
      <x:c r="P44" s="186"/>
      <x:c r="Q44" s="186"/>
      <x:c r="R44" s="186"/>
      <x:c r="S44" s="186"/>
      <x:c r="T44" s="186"/>
      <x:c r="U44" s="186"/>
      <x:c r="V44" s="186"/>
      <x:c r="W44" s="186"/>
      <x:c r="X44" s="186"/>
      <x:c r="Y44" s="186"/>
      <x:c r="Z44" s="186"/>
    </x:row>
    <x:row r="45">
      <x:c r="A45" s="186"/>
      <x:c r="B45" s="186"/>
      <x:c r="C45" s="186"/>
      <x:c r="D45" s="186"/>
      <x:c r="E45" s="186"/>
      <x:c r="F45" s="186"/>
      <x:c r="G45" s="186"/>
      <x:c r="H45" s="186"/>
      <x:c r="I45" s="186"/>
      <x:c r="J45" s="186"/>
      <x:c r="K45" s="186"/>
      <x:c r="L45" s="186"/>
      <x:c r="M45" s="186"/>
      <x:c r="N45" s="186"/>
      <x:c r="O45" s="186"/>
      <x:c r="P45" s="186"/>
      <x:c r="Q45" s="186"/>
      <x:c r="R45" s="186"/>
      <x:c r="S45" s="186"/>
      <x:c r="T45" s="186"/>
      <x:c r="U45" s="186"/>
      <x:c r="V45" s="186"/>
      <x:c r="W45" s="186"/>
      <x:c r="X45" s="186"/>
      <x:c r="Y45" s="186"/>
      <x:c r="Z45" s="186"/>
    </x:row>
    <x:row r="46">
      <x:c r="A46" s="186"/>
      <x:c r="B46" s="186"/>
      <x:c r="C46" s="186"/>
      <x:c r="D46" s="186"/>
      <x:c r="E46" s="186"/>
      <x:c r="F46" s="186"/>
      <x:c r="G46" s="186"/>
      <x:c r="H46" s="186"/>
      <x:c r="I46" s="186"/>
      <x:c r="J46" s="186"/>
      <x:c r="K46" s="186"/>
      <x:c r="L46" s="186"/>
      <x:c r="M46" s="186"/>
      <x:c r="N46" s="186"/>
      <x:c r="O46" s="186"/>
      <x:c r="P46" s="186"/>
      <x:c r="Q46" s="186"/>
      <x:c r="R46" s="186"/>
      <x:c r="S46" s="186"/>
      <x:c r="T46" s="186"/>
      <x:c r="U46" s="186"/>
      <x:c r="V46" s="186"/>
      <x:c r="W46" s="186"/>
      <x:c r="X46" s="186"/>
      <x:c r="Y46" s="186"/>
      <x:c r="Z46" s="186"/>
    </x:row>
    <x:row r="47">
      <x:c r="A47" s="186"/>
      <x:c r="B47" s="186"/>
      <x:c r="C47" s="186"/>
      <x:c r="D47" s="186"/>
      <x:c r="E47" s="186"/>
      <x:c r="F47" s="186"/>
      <x:c r="G47" s="186"/>
      <x:c r="H47" s="186"/>
      <x:c r="I47" s="186"/>
      <x:c r="J47" s="186"/>
      <x:c r="K47" s="186"/>
      <x:c r="L47" s="186"/>
      <x:c r="M47" s="186"/>
      <x:c r="N47" s="186"/>
      <x:c r="O47" s="186"/>
      <x:c r="P47" s="186"/>
      <x:c r="Q47" s="186"/>
      <x:c r="R47" s="186"/>
      <x:c r="S47" s="186"/>
      <x:c r="T47" s="186"/>
      <x:c r="U47" s="186"/>
      <x:c r="V47" s="186"/>
      <x:c r="W47" s="186"/>
      <x:c r="X47" s="186"/>
      <x:c r="Y47" s="186"/>
      <x:c r="Z47" s="186"/>
    </x:row>
    <x:row r="48">
      <x:c r="A48" s="186"/>
      <x:c r="B48" s="186"/>
      <x:c r="C48" s="186"/>
      <x:c r="D48" s="186"/>
      <x:c r="E48" s="186"/>
      <x:c r="F48" s="186"/>
      <x:c r="G48" s="186"/>
      <x:c r="H48" s="186"/>
      <x:c r="I48" s="186"/>
      <x:c r="J48" s="186"/>
      <x:c r="K48" s="186"/>
      <x:c r="L48" s="186"/>
      <x:c r="M48" s="186"/>
      <x:c r="N48" s="186"/>
      <x:c r="O48" s="186"/>
      <x:c r="P48" s="186"/>
      <x:c r="Q48" s="186"/>
      <x:c r="R48" s="186"/>
      <x:c r="S48" s="186"/>
      <x:c r="T48" s="186"/>
      <x:c r="U48" s="186"/>
      <x:c r="V48" s="186"/>
      <x:c r="W48" s="186"/>
      <x:c r="X48" s="186"/>
      <x:c r="Y48" s="186"/>
      <x:c r="Z48" s="186"/>
    </x:row>
    <x:row r="49">
      <x:c r="A49" s="186"/>
      <x:c r="B49" s="186"/>
      <x:c r="C49" s="186"/>
      <x:c r="D49" s="186"/>
      <x:c r="E49" s="186"/>
      <x:c r="F49" s="186"/>
      <x:c r="G49" s="186"/>
      <x:c r="H49" s="186"/>
      <x:c r="I49" s="186"/>
      <x:c r="J49" s="186"/>
      <x:c r="K49" s="186"/>
      <x:c r="L49" s="186"/>
      <x:c r="M49" s="186"/>
      <x:c r="N49" s="186"/>
      <x:c r="O49" s="186"/>
      <x:c r="P49" s="186"/>
      <x:c r="Q49" s="186"/>
      <x:c r="R49" s="186"/>
      <x:c r="S49" s="186"/>
      <x:c r="T49" s="186"/>
      <x:c r="U49" s="186"/>
      <x:c r="V49" s="186"/>
      <x:c r="W49" s="186"/>
      <x:c r="X49" s="186"/>
      <x:c r="Y49" s="186"/>
      <x:c r="Z49" s="186"/>
    </x:row>
    <x:row r="50">
      <x:c r="A50" s="186"/>
      <x:c r="B50" s="186"/>
      <x:c r="C50" s="186"/>
      <x:c r="D50" s="186"/>
      <x:c r="E50" s="186"/>
      <x:c r="F50" s="186"/>
      <x:c r="G50" s="186"/>
      <x:c r="H50" s="186"/>
      <x:c r="I50" s="186"/>
      <x:c r="J50" s="186"/>
      <x:c r="K50" s="186"/>
      <x:c r="L50" s="186"/>
      <x:c r="M50" s="186"/>
      <x:c r="N50" s="186"/>
      <x:c r="O50" s="186"/>
      <x:c r="P50" s="186"/>
      <x:c r="Q50" s="186"/>
      <x:c r="R50" s="186"/>
      <x:c r="S50" s="186"/>
      <x:c r="T50" s="186"/>
      <x:c r="U50" s="186"/>
      <x:c r="V50" s="186"/>
      <x:c r="W50" s="186"/>
      <x:c r="X50" s="186"/>
      <x:c r="Y50" s="186"/>
      <x:c r="Z50" s="186"/>
    </x:row>
  </x:sheetData>
  <x:mergeCells>
    <x:mergeCell ref="A1:D1"/>
  </x:mergeCells>
  <x:pageMargins left="0.7" right="0.7" top="0.75" bottom="0.75" header="0.3" footer="0.3"/>
</x:worksheet>
</file>